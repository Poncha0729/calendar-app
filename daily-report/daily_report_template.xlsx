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本日の日報" sheetId="2" state="visible" r:id="rId2"/>
    <sheet name="毎日やること" sheetId="3" state="visible" r:id="rId3"/>
    <sheet name="経費ログ" sheetId="4" state="visible" r:id="rId4"/>
    <sheet name="案件パイプライン" sheetId="5" state="visible" r:id="rId5"/>
    <sheet name="月次集計" sheetId="6" state="visible" r:id="rId6"/>
    <sheet name="10年計画" sheetId="7" state="visible" r:id="rId7"/>
    <sheet name="日次ログ" sheetId="8" state="visible" r:id="rId8"/>
    <sheet name="提出データ" sheetId="9" state="visible" r:id="rId9"/>
    <sheet name="設定" sheetId="10" state="visible" r:id="rId10"/>
  </sheets>
  <definedNames>
    <definedName name="REPORT_DATE">'本日の日報'!$B$5</definedName>
  </definedNames>
  <calcPr calcId="124519" fullCalcOnLoad="1"/>
</workbook>
</file>

<file path=xl/sharedStrings.xml><?xml version="1.0" encoding="utf-8"?>
<sst xmlns="http://schemas.openxmlformats.org/spreadsheetml/2006/main" uniqueCount="453">
  <si>
    <t>日報・日次決算テンプレート（年商1000億円への10年計画）</t>
  </si>
  <si>
    <t>毎日、日報・営業実績・日次決算・日課チェックを1枚に入力して提出し、日次ログにためる。月次集計と10年計画は、ためたデータから自動で集計される。</t>
  </si>
  <si>
    <t>毎日の流れ</t>
  </si>
  <si>
    <t>1. 朝</t>
  </si>
  <si>
    <t>「本日の日報」で日付を確認し、前回決めた今日のTop3と売上目標を見る。「毎日やること」で今日の行動を決める。</t>
  </si>
  <si>
    <t>2. 日中</t>
  </si>
  <si>
    <t>費用が出たら「経費ログ」に1件1行で記録する。商談が動いたら「案件パイプライン」のフェーズと次のアクションを更新する。</t>
  </si>
  <si>
    <t>3. 夜</t>
  </si>
  <si>
    <t>「本日の日報」の薄い黄色のセルに、売上・営業実績・日課の結果・振り返り（KPT）・明日のTop3を入力する。売上原価・販管費・利益は経費ログから自動で計算される。</t>
  </si>
  <si>
    <t>4. 提出</t>
  </si>
  <si>
    <t>メニュー「日報」→「本日の日報を提出」を押す（Apps Scriptの設定が必要。下記3）。スクリプトを使わない場合は「提出データ」シートの2行目をコピーし、「日次ログ」の最終行の下に値のみ貼り付け（Ctrl+Shift+V）。</t>
  </si>
  <si>
    <t>5. 週に1回</t>
  </si>
  <si>
    <t>「月次集計」で売上・利益・日課の実行率を、「10年計画」で今年の目標との差を確認する。続かない日課は原因を1つ決めて手を打つ。</t>
  </si>
  <si>
    <t>セルの色</t>
  </si>
  <si>
    <t>入力値</t>
  </si>
  <si>
    <t>薄い黄色：入力するセル（青い文字が入力した値）</t>
  </si>
  <si>
    <t>計算値</t>
  </si>
  <si>
    <t>白：自動で計算されるセル（入力しない）</t>
  </si>
  <si>
    <t>参照値</t>
  </si>
  <si>
    <t>緑の文字：ほかのシートから参照している値</t>
  </si>
  <si>
    <t>最初に1回だけやること</t>
  </si>
  <si>
    <t>1</t>
  </si>
  <si>
    <t>「設定」シートの薄い黄色のセル（計画開始日、1年目の売上目標、平均受注単価、受注率など）を自分の数字に書き換える。</t>
  </si>
  <si>
    <t>2</t>
  </si>
  <si>
    <t>「毎日やること」の項目と目安を、自分の事業に合わせて見直す（本日の日報・日次ログ・月次集計に自動で反映される）。</t>
  </si>
  <si>
    <t>3</t>
  </si>
  <si>
    <t>提出ボタンを使う場合は、メニュー「拡張機能」→「Apps Script」を開き、最初からあるコードを消して、提出スクリプト（Googleドライブの「日報 提出スクリプト（Apps Script用）」、またはGitHubの daily-report/gas/Code.gs）を貼り付けて保存する。シートを再読み込みするとメニューに「日報」が表示される。初回だけGoogleの承認画面が出るので、自分のアカウントで許可する。</t>
  </si>
  <si>
    <t>4</t>
  </si>
  <si>
    <t>提出時にメールも送る場合は「設定」の提出先メールアドレスを入力する。毎晩の未提出リマインドは、メニュー「日報」→「毎日のリマインドを設定」。</t>
  </si>
  <si>
    <t>シートの一覧</t>
  </si>
  <si>
    <t>シート</t>
  </si>
  <si>
    <t>役割</t>
  </si>
  <si>
    <t>いつ入力するか</t>
  </si>
  <si>
    <t>本日の日報</t>
  </si>
  <si>
    <t>毎日の入力画面。日報・営業実績・日次決算・日課チェック</t>
  </si>
  <si>
    <t>毎日</t>
  </si>
  <si>
    <t>毎日やること</t>
  </si>
  <si>
    <t>年商1000億に向けて毎日やることの一覧と理由</t>
  </si>
  <si>
    <t>必要に応じて見直す</t>
  </si>
  <si>
    <t>経費ログ</t>
  </si>
  <si>
    <t>費用を1件1行で記録。日次決算と月次集計に反映</t>
  </si>
  <si>
    <t>費用が出たとき</t>
  </si>
  <si>
    <t>案件パイプライン</t>
  </si>
  <si>
    <t>案件ごとのフェーズ・見込金額・次のアクション</t>
  </si>
  <si>
    <t>商談が動いたとき</t>
  </si>
  <si>
    <t>月次集計</t>
  </si>
  <si>
    <t>月ごとの売上・利益・営業数字・日課の実行率</t>
  </si>
  <si>
    <t>見るだけ（表示する年目は変更可）</t>
  </si>
  <si>
    <t>10年計画</t>
  </si>
  <si>
    <t>1〜10年目の売上目標と実績、必要な件数と人数の逆算</t>
  </si>
  <si>
    <t>見るだけ（重点テーマは書き換え可）</t>
  </si>
  <si>
    <t>日次ログ</t>
  </si>
  <si>
    <t>提出した日報が1日1行でたまる記録</t>
  </si>
  <si>
    <t>提出時に自動</t>
  </si>
  <si>
    <t>提出データ</t>
  </si>
  <si>
    <t>日次ログに送る1行分のデータ（自動作成）</t>
  </si>
  <si>
    <t>触らない</t>
  </si>
  <si>
    <t>設定</t>
  </si>
  <si>
    <t>目標・前提条件・選択肢のリスト</t>
  </si>
  <si>
    <t>最初に1回（毎月見直す）</t>
  </si>
  <si>
    <t>補足</t>
  </si>
  <si>
    <t>・</t>
  </si>
  <si>
    <t>日次ログ・経費ログ・案件パイプラインの「記入例」の行は集計されない。不要なら行ごと削除してよい。</t>
  </si>
  <si>
    <t>経費は経費ログが正本。提出後に経費を追加・修正しても月次集計には反映される（日次ログの費用欄は提出時点の記録）。</t>
  </si>
  <si>
    <t>目標の数字（仮の値）は設定シートで変更できる。変更すると10年計画・本日の日報・月次集計が連動する。</t>
  </si>
  <si>
    <t>同じ日付の日報をもう一度提出すると、上書きするか確認が出る。</t>
  </si>
  <si>
    <t>設定（目標・前提条件・選択肢）</t>
  </si>
  <si>
    <t>薄い黄色のセルを自分の数字に書き換える。ほかのシートの計算はすべてここを参照している。</t>
  </si>
  <si>
    <t>項目</t>
  </si>
  <si>
    <t>値</t>
  </si>
  <si>
    <t>単位</t>
  </si>
  <si>
    <t>メモ（出所）</t>
  </si>
  <si>
    <t>勘定科目</t>
  </si>
  <si>
    <t>支払方法</t>
  </si>
  <si>
    <t>案件フェーズ</t>
  </si>
  <si>
    <t>確度</t>
  </si>
  <si>
    <t>計画開始日</t>
  </si>
  <si>
    <t>日付</t>
  </si>
  <si>
    <t>仮の値：1年目の初日。変更すると10年計画と月次集計の期間が連動する</t>
  </si>
  <si>
    <t>原価：仕入高</t>
  </si>
  <si>
    <t>現金</t>
  </si>
  <si>
    <t>リード</t>
  </si>
  <si>
    <t>1年目の売上目標</t>
  </si>
  <si>
    <t>億円</t>
  </si>
  <si>
    <t>仮の値：現状の売上から見て現実的な1年目の目標に変更する</t>
  </si>
  <si>
    <t>原価：外注費</t>
  </si>
  <si>
    <t>クレジットカード</t>
  </si>
  <si>
    <t>アポ獲得</t>
  </si>
  <si>
    <t>10年目の売上目標</t>
  </si>
  <si>
    <t>出所：ご本人の目標（10年後に年商1000億円）</t>
  </si>
  <si>
    <t>販管費：広告宣伝費</t>
  </si>
  <si>
    <t>銀行振込</t>
  </si>
  <si>
    <t>商談中</t>
  </si>
  <si>
    <t>平均受注単価（想定）</t>
  </si>
  <si>
    <t>円</t>
  </si>
  <si>
    <t>仮の値：直近の受注実績の平均に変更する</t>
  </si>
  <si>
    <t>販管費：旅費交通費</t>
  </si>
  <si>
    <t>口座引落</t>
  </si>
  <si>
    <t>提案済</t>
  </si>
  <si>
    <t>商談からの受注率（想定）</t>
  </si>
  <si>
    <t>％</t>
  </si>
  <si>
    <t>仮の値：直近の実績（受注数÷商談数）に変更する</t>
  </si>
  <si>
    <t>販管費：交際費</t>
  </si>
  <si>
    <t>電子マネー・QR</t>
  </si>
  <si>
    <t>交渉中</t>
  </si>
  <si>
    <t>アプローチからの商談化率（想定）</t>
  </si>
  <si>
    <t>仮の値：直近の実績（商談数÷新規アプローチ数）に変更する</t>
  </si>
  <si>
    <t>販管費：会議費</t>
  </si>
  <si>
    <t>その他</t>
  </si>
  <si>
    <t>受注</t>
  </si>
  <si>
    <t>営業1人が1日にできるアプローチ数</t>
  </si>
  <si>
    <t>件</t>
  </si>
  <si>
    <t>仮の値：10年計画の「必要な営業担当者数」の計算に使う</t>
  </si>
  <si>
    <t>販管費：通信費</t>
  </si>
  <si>
    <t>失注</t>
  </si>
  <si>
    <t>既存顧客との接点（1日の目標）</t>
  </si>
  <si>
    <t>社</t>
  </si>
  <si>
    <t>毎日やることNo.5の目安</t>
  </si>
  <si>
    <t>販管費：消耗品費</t>
  </si>
  <si>
    <t>保留</t>
  </si>
  <si>
    <t>記入者</t>
  </si>
  <si>
    <t>自分の名前（本日の日報と提出メールに表示）</t>
  </si>
  <si>
    <t>販管費：地代家賃</t>
  </si>
  <si>
    <t>確度は仮の値。フェーズ別の加重見込金額（案件パイプライン）に使う。</t>
  </si>
  <si>
    <t>提出先メールアドレス</t>
  </si>
  <si>
    <t>Apps Scriptで提出したときにメールを送る宛先。空欄なら送らない</t>
  </si>
  <si>
    <t>販管費：水道光熱費</t>
  </si>
  <si>
    <t>リマインドの時刻</t>
  </si>
  <si>
    <t>時</t>
  </si>
  <si>
    <t>Apps Scriptの「毎日のリマインドを設定」で、未提出を知らせる時刻（0〜23）</t>
  </si>
  <si>
    <t>販管費：支払手数料</t>
  </si>
  <si>
    <t>販管費：新聞図書費</t>
  </si>
  <si>
    <t>販管費：採用教育費</t>
  </si>
  <si>
    <t>販管費：給与・人件費</t>
  </si>
  <si>
    <t>販管費：福利厚生費</t>
  </si>
  <si>
    <t>販管費：保険料</t>
  </si>
  <si>
    <t>販管費：租税公課</t>
  </si>
  <si>
    <t>販管費：雑費</t>
  </si>
  <si>
    <t>「原価：」で始まる科目は売上原価、それ以外は販管費として集計する。空いている行に科目を追加できる（例：原価：材料費）。</t>
  </si>
  <si>
    <t>本日の日報・日次決算</t>
  </si>
  <si>
    <t>薄い黄色のセルに入力（青い文字）。白いセルは自動計算、緑の文字はほかのシートから参照。入力が終わったらメニュー「日報」→「本日の日報を提出」（スクリプトがない場合は「提出データ」シートの手順）。</t>
  </si>
  <si>
    <t>1. 基本情報</t>
  </si>
  <si>
    <t>計画開始から</t>
  </si>
  <si>
    <t>Ctrl + ;（セミコロン）で今日の日付を入力できる</t>
  </si>
  <si>
    <t>計画年目</t>
  </si>
  <si>
    <t>前回の提出日</t>
  </si>
  <si>
    <t>日次ログにある、この日付より前の最新の日報</t>
  </si>
  <si>
    <t>体調（1〜5）</t>
  </si>
  <si>
    <t>5＝絶好調、3＝普通、1＝不調</t>
  </si>
  <si>
    <t>今日のテーマ（一言）</t>
  </si>
  <si>
    <t>2. 今日のTop3（前回の日報で決めたこと）</t>
  </si>
  <si>
    <t>結果（○△×）</t>
  </si>
  <si>
    <t>内容（前回の日報から自動表示）</t>
  </si>
  <si>
    <t>① 最重要</t>
  </si>
  <si>
    <t>②</t>
  </si>
  <si>
    <t>③</t>
  </si>
  <si>
    <t>Top3の実行率</t>
  </si>
  <si>
    <t>○の数÷Top3の数。前回の日報がない日は「-」</t>
  </si>
  <si>
    <t>3. 売上目標と進捗（年商1000億からの逆算）</t>
  </si>
  <si>
    <t>実績</t>
  </si>
  <si>
    <t>目標</t>
  </si>
  <si>
    <t>達成率</t>
  </si>
  <si>
    <t>メモ</t>
  </si>
  <si>
    <t>今日の売上</t>
  </si>
  <si>
    <t>目標＝今年の売上目標÷365</t>
  </si>
  <si>
    <t>今月の売上（本日まで）</t>
  </si>
  <si>
    <t>目標＝今年の売上目標÷12</t>
  </si>
  <si>
    <t>今年の売上（本日まで）</t>
  </si>
  <si>
    <t>今月の目標まであと</t>
  </si>
  <si>
    <t>今月の目標から今月の売上を引いた額</t>
  </si>
  <si>
    <t>明日以降に必要な売上（1日あたり）</t>
  </si>
  <si>
    <t>残りの額を、月末までの残り日数で割った額</t>
  </si>
  <si>
    <t>4. 営業実績（本日）</t>
  </si>
  <si>
    <t>新規アプローチ数</t>
  </si>
  <si>
    <t>架電・DM・訪問・紹介依頼など、見込み客との新しい接点。目標は10年計画の逆算</t>
  </si>
  <si>
    <t>アポ獲得数</t>
  </si>
  <si>
    <t>商談数（実施）</t>
  </si>
  <si>
    <t>目標＝10年計画の年間必要商談数÷365</t>
  </si>
  <si>
    <t>提案・見積の提出数</t>
  </si>
  <si>
    <t>受注数</t>
  </si>
  <si>
    <t>目標＝10年計画の年間必要受注件数÷365</t>
  </si>
  <si>
    <t>受注金額</t>
  </si>
  <si>
    <t>契約した金額（売上の計上日とずれてもよい）</t>
  </si>
  <si>
    <t>既存顧客との面談・連絡</t>
  </si>
  <si>
    <t>毎日やることNo.5</t>
  </si>
  <si>
    <t>紹介でもらった見込み客</t>
  </si>
  <si>
    <t>5. 日次決算（本日）</t>
  </si>
  <si>
    <t>本日</t>
  </si>
  <si>
    <t>今月累計</t>
  </si>
  <si>
    <t>売上高</t>
  </si>
  <si>
    <t>本日計上した売上（税抜）</t>
  </si>
  <si>
    <t>売上原価</t>
  </si>
  <si>
    <t>経費ログのうち、科目が「原価：」で始まる費用の合計</t>
  </si>
  <si>
    <t>粗利</t>
  </si>
  <si>
    <t>粗利率</t>
  </si>
  <si>
    <t>販管費</t>
  </si>
  <si>
    <t>経費ログのうち、原価以外の科目の合計</t>
  </si>
  <si>
    <t>営業利益</t>
  </si>
  <si>
    <t>営業利益率</t>
  </si>
  <si>
    <t>経費の記録件数</t>
  </si>
  <si>
    <t>費用は「経費ログ」に1件1行で入力。0件のときは記録漏れがないか確認</t>
  </si>
  <si>
    <t>現預金（任意）</t>
  </si>
  <si>
    <t>前回の現預金残高</t>
  </si>
  <si>
    <t>前回提出した日報の残高</t>
  </si>
  <si>
    <t>本日の入金額</t>
  </si>
  <si>
    <t>本日の出金額</t>
  </si>
  <si>
    <t>計算上の残高</t>
  </si>
  <si>
    <t>前回の残高＋入金−出金</t>
  </si>
  <si>
    <t>終業時の現預金残高（実際）</t>
  </si>
  <si>
    <t>銀行口座と手元現金の合計</t>
  </si>
  <si>
    <t>差異（計算上−実際）</t>
  </si>
  <si>
    <t>0でなければ、入出金の記録漏れがないか確認</t>
  </si>
  <si>
    <t>6. 1000億への日課チェック（○＝できた、△＝一部、×＝できなかった）</t>
  </si>
  <si>
    <t>日課</t>
  </si>
  <si>
    <t>目安</t>
  </si>
  <si>
    <t>やったこと・メモ</t>
  </si>
  <si>
    <t>日課の達成率</t>
  </si>
  <si>
    <t>○の数÷日課の数</t>
  </si>
  <si>
    <t>7. 振り返り（KPT）と明日の計画</t>
  </si>
  <si>
    <t>今日いちばんの成果（数字で）</t>
  </si>
  <si>
    <t>Keep：うまくいった・続けること</t>
  </si>
  <si>
    <t>Problem：課題・うまくいかなかったこと</t>
  </si>
  <si>
    <t>Try：次に試すこと</t>
  </si>
  <si>
    <t>学び・気づき</t>
  </si>
  <si>
    <t>明日のTop3 ①（最重要）</t>
  </si>
  <si>
    <t>明日のTop3 ②</t>
  </si>
  <si>
    <t>明日のTop3 ③</t>
  </si>
  <si>
    <t>相談したいこと・決めること</t>
  </si>
  <si>
    <t>提出：メニュー「日報」→「本日の日報を提出」。日次ログに1行追加され、入力欄を空にして翌日の日付に進められる。スクリプトを入れていない場合は「提出データ」シートの2行目をコピーし、「日次ログ」の最終行の下に値のみ貼り付け（Ctrl+Shift+V）。</t>
  </si>
  <si>
    <t>年商1000億円（10年後）に向けて毎日やること</t>
  </si>
  <si>
    <t>項目名・短縮名・目安は自分の事業に合わせて書き換えてよい（本日の日報・日次ログ・月次集計に自動で反映される）。</t>
  </si>
  <si>
    <t>No</t>
  </si>
  <si>
    <t>分類</t>
  </si>
  <si>
    <t>短縮名（ログ用）</t>
  </si>
  <si>
    <t>具体的な行動</t>
  </si>
  <si>
    <t>1000億につながる理由</t>
  </si>
  <si>
    <t>数字</t>
  </si>
  <si>
    <t>目標から逆算して今日の数字を決める</t>
  </si>
  <si>
    <t>逆算・目標確認</t>
  </si>
  <si>
    <t>10年計画→今年→今月の目標と実績の差を確認し、今日の売上と行動件数の目標を決める</t>
  </si>
  <si>
    <t>朝5分</t>
  </si>
  <si>
    <t>10年目の目標を365で割ると、1日に必要な売上がわかる（年1000億円なら1日約2.7億円）。毎日差を確認しないと、差は月末まで気づかれないまま広がる</t>
  </si>
  <si>
    <t>日次決算を締める</t>
  </si>
  <si>
    <t>日次決算</t>
  </si>
  <si>
    <t>今日の売上・原価・経費・現預金残高をその日のうちに確定し、日報で提出する</t>
  </si>
  <si>
    <t>夜10分</t>
  </si>
  <si>
    <t>急成長中の会社は黒字でも資金が尽きることがある。利益と現金を毎日つかんでいれば、手を打つのが早くなる</t>
  </si>
  <si>
    <t>売上</t>
  </si>
  <si>
    <t>最重要タスクを午前中に終わらせる</t>
  </si>
  <si>
    <t>最重要タスク</t>
  </si>
  <si>
    <t>前回の日報で決めたTop3のうち、売上に最も効く1つを最初に片付ける</t>
  </si>
  <si>
    <t>午前中</t>
  </si>
  <si>
    <t>急ぎではないが重要な仕事は、後回しにするといつまでも終わらない。売上を動かす仕事を1日の最初に固定する</t>
  </si>
  <si>
    <t>新規アプローチを目標件数やる</t>
  </si>
  <si>
    <t>新規アプローチ</t>
  </si>
  <si>
    <t>架電・DM・訪問・紹介依頼などで、見込み客との新しい接点をつくる</t>
  </si>
  <si>
    <t>本日の日報の目標件数</t>
  </si>
  <si>
    <t>受注は商談から、商談は接点から生まれる。入口の件数が足りなければ、成約率が高くても売上は伸びない</t>
  </si>
  <si>
    <t>既存顧客と話す</t>
  </si>
  <si>
    <t>既存顧客</t>
  </si>
  <si>
    <t>最低1社と話し、課題・不満・追加の要望を聞く。満足している顧客には紹介を頼む</t>
  </si>
  <si>
    <t>1社以上</t>
  </si>
  <si>
    <t>既存顧客からの追加受注と紹介は、新規開拓より獲得コストが低い。解約の兆しにも早く気づける</t>
  </si>
  <si>
    <t>商談を前に進める</t>
  </si>
  <si>
    <t>商談前進</t>
  </si>
  <si>
    <t>案件パイプラインを更新し、すべての案件に次のアクションと期日を入れる。問い合わせや依頼には24時間以内に返す</t>
  </si>
  <si>
    <t>全案件</t>
  </si>
  <si>
    <t>次の一手が決まっていない案件は失注しやすい。止まっている案件をゼロにする</t>
  </si>
  <si>
    <t>仕組み</t>
  </si>
  <si>
    <t>仕事を1つ仕組み化する</t>
  </si>
  <si>
    <t>仕組み化</t>
  </si>
  <si>
    <t>今日やった仕事から1つ選び、マニュアル・テンプレート・チェックリストにして共有する</t>
  </si>
  <si>
    <t>1つ</t>
  </si>
  <si>
    <t>年1000億は自分1人では届かない。誰がやっても同じ成果が出る手順があれば、新しく入った人が早く戦力になる</t>
  </si>
  <si>
    <t>仕事を1つ手放す</t>
  </si>
  <si>
    <t>手放す</t>
  </si>
  <si>
    <t>自分がやらなくてよい仕事を1つ、人に任せる・自動化する・やめる</t>
  </si>
  <si>
    <t>社長の時間は増やせない。手放して空いた時間を、売上・採用・提携に使う</t>
  </si>
  <si>
    <t>組織</t>
  </si>
  <si>
    <t>採用の接点を1つつくる</t>
  </si>
  <si>
    <t>採用</t>
  </si>
  <si>
    <t>候補者と話す、スカウトを送る、知人に紹介を頼む、採用ページを直す、のいずれかをやる</t>
  </si>
  <si>
    <t>1件</t>
  </si>
  <si>
    <t>1人あたり売上が1億円でも、年1000億には1,000人が必要になる。採用は毎日進めないと間に合わない</t>
  </si>
  <si>
    <t>メンバー1人と向き合う</t>
  </si>
  <si>
    <t>メンバー</t>
  </si>
  <si>
    <t>1on1・承認・感謝・フィードバックのいずれかを1人に行う</t>
  </si>
  <si>
    <t>1人</t>
  </si>
  <si>
    <t>採用しても定着しなければ組織は大きくならない。育成と定着が採用の成果を決める</t>
  </si>
  <si>
    <t>商品</t>
  </si>
  <si>
    <t>顧客の声から改善を1つ実行する</t>
  </si>
  <si>
    <t>改善</t>
  </si>
  <si>
    <t>商品・サービス・業務のどこかを、顧客の声をもとに1つ直す</t>
  </si>
  <si>
    <t>毎日1つの改善は1年で約365個になる。競合との差は日々の改善の積み重ねでつく</t>
  </si>
  <si>
    <t>発信</t>
  </si>
  <si>
    <t>1つ発信する</t>
  </si>
  <si>
    <t>SNS・ブログ・導入事例・採用広報などで1つ発信する</t>
  </si>
  <si>
    <t>1本</t>
  </si>
  <si>
    <t>発信は問い合わせ・採用応募・提携の相談を生む。知られていない会社には相談が来ない</t>
  </si>
  <si>
    <t>拡大</t>
  </si>
  <si>
    <t>提携・資金・人脈に1手打つ</t>
  </si>
  <si>
    <t>提携・資金</t>
  </si>
  <si>
    <t>金融機関・投資家・提携先・業界のキーパーソン・M&amp;A候補のいずれかに連絡するか会う</t>
  </si>
  <si>
    <t>年1000億には自社の営業だけでなく、資金調達・提携・M&amp;Aによる成長が必要になる。関係づくりは必要になる前に始める</t>
  </si>
  <si>
    <t>学び</t>
  </si>
  <si>
    <t>30分学ぶ</t>
  </si>
  <si>
    <t>学習</t>
  </si>
  <si>
    <t>経営・財務・業界の動向や、先に年商1000億に届いた会社の事例を学び、1つを自社に当てはめる</t>
  </si>
  <si>
    <t>30分</t>
  </si>
  <si>
    <t>会社の規模が10倍になるたびに、経営者に必要な知識と判断が変わる</t>
  </si>
  <si>
    <t>自己管理</t>
  </si>
  <si>
    <t>体調を整える</t>
  </si>
  <si>
    <t>体調</t>
  </si>
  <si>
    <t>睡眠を7時間とり、運動する。体調を5段階で記録する</t>
  </si>
  <si>
    <t>睡眠7時間・運動20分</t>
  </si>
  <si>
    <t>10年間、判断の質を落とさずに働き続けるための土台になる</t>
  </si>
  <si>
    <t>振り返り</t>
  </si>
  <si>
    <t>日報を書いて提出する</t>
  </si>
  <si>
    <t>日報提出</t>
  </si>
  <si>
    <t>今日の結果を記録し、KPT（続けること・課題・次に試すこと）と明日のTop3を書いて提出する</t>
  </si>
  <si>
    <t>夜15分</t>
  </si>
  <si>
    <t>何が効いたかを毎日記録すると、成果が出たやり方を再現できる。記録がなければ振り返りは記憶頼みになる</t>
  </si>
  <si>
    <t>週に1回・月に1回やること（日報の振り返りを計画に戻す）</t>
  </si>
  <si>
    <t>頻度</t>
  </si>
  <si>
    <t>やること</t>
  </si>
  <si>
    <t>毎週</t>
  </si>
  <si>
    <t>月次集計で日課の実行率を見て、続かない日課の原因を1つ決めて手を打つ</t>
  </si>
  <si>
    <t>案件パイプラインを全件見直し、止まっている案件の次の一手を決める</t>
  </si>
  <si>
    <t>翌週の最重要テーマと売上目標を決める</t>
  </si>
  <si>
    <t>毎月</t>
  </si>
  <si>
    <t>月次集計で売上・粗利・営業利益を目標と比べ、差の原因を書き出す</t>
  </si>
  <si>
    <t>設定シートの平均受注単価・受注率・商談化率を実績に合わせて更新する</t>
  </si>
  <si>
    <t>採用・組織の計画を、10年計画の必要な営業担当者数と比べて見直す</t>
  </si>
  <si>
    <t>経費ログ（費用を1件1行で入力）</t>
  </si>
  <si>
    <t>内容・支払先</t>
  </si>
  <si>
    <t>金額（円・税込）</t>
  </si>
  <si>
    <t>領収書</t>
  </si>
  <si>
    <t>日付・勘定科目・金額は必須。科目が「原価：」で始まる費用は売上原価、それ以外は販管費になる。本日の日報の売上原価・販管費と、月次集計に自動で反映される。「記入例」の行は集計されない。</t>
  </si>
  <si>
    <t>記入例</t>
  </si>
  <si>
    <t>A社訪問（電車往復）</t>
  </si>
  <si>
    <t>○</t>
  </si>
  <si>
    <t>案件パイプライン（案件ごとに1行。フェーズと次のアクションを毎日更新）</t>
  </si>
  <si>
    <t>登録日</t>
  </si>
  <si>
    <t>顧客名</t>
  </si>
  <si>
    <t>案件名・内容</t>
  </si>
  <si>
    <t>フェーズ</t>
  </si>
  <si>
    <t>見込金額（円）</t>
  </si>
  <si>
    <t>受注予定日</t>
  </si>
  <si>
    <t>次のアクション</t>
  </si>
  <si>
    <t>期日</t>
  </si>
  <si>
    <t>担当</t>
  </si>
  <si>
    <t>流入経路</t>
  </si>
  <si>
    <t>フェーズ別の集計</t>
  </si>
  <si>
    <t>株式会社サンプル</t>
  </si>
  <si>
    <t>業務システム導入</t>
  </si>
  <si>
    <t>見積を再提出する</t>
  </si>
  <si>
    <t>自分</t>
  </si>
  <si>
    <t>既存顧客の紹介</t>
  </si>
  <si>
    <t>件数</t>
  </si>
  <si>
    <t>見込金額</t>
  </si>
  <si>
    <t>加重金額</t>
  </si>
  <si>
    <t>合計</t>
  </si>
  <si>
    <t>期日を過ぎた案件</t>
  </si>
  <si>
    <t>受注・失注以外で、期日が今日より前の案件数</t>
  </si>
  <si>
    <t>加重金額＝見込金額×確度（確度は設定シート）。「記入例」の行は集計されない。</t>
  </si>
  <si>
    <t>月次集計（日次ログ・経費ログから自動集計）</t>
  </si>
  <si>
    <t>表示する計画年目を変えると、その年の12か月を表示する。売上・営業実績は日次ログ、原価・販管費は経費ログから集計。</t>
  </si>
  <si>
    <t>表示する計画年目</t>
  </si>
  <si>
    <t>期間</t>
  </si>
  <si>
    <t>〜</t>
  </si>
  <si>
    <t>月</t>
  </si>
  <si>
    <t>売上目標</t>
  </si>
  <si>
    <t>商談数</t>
  </si>
  <si>
    <t>商談化率</t>
  </si>
  <si>
    <t>受注率</t>
  </si>
  <si>
    <t>平均受注単価</t>
  </si>
  <si>
    <t>日報提出日数</t>
  </si>
  <si>
    <t>日課達成率（平均）</t>
  </si>
  <si>
    <t>年間合計</t>
  </si>
  <si>
    <t>日課の実行率（○をつけた日数÷日報を提出した日数）</t>
  </si>
  <si>
    <t>日報を提出した日数</t>
  </si>
  <si>
    <t>10年計画（年商1000億円からの逆算）</t>
  </si>
  <si>
    <t>設定シートの「1年目の売上目標」と「10年目の売上目標」から、毎年同じ成長率で伸ばした場合の目標を計算する。実績は日次ログの売上高から自動で集計する。</t>
  </si>
  <si>
    <t>必要な成長率（毎年）</t>
  </si>
  <si>
    <t>この率で毎年伸ばすと、10年目に目標に届く（1年目から10年目までの9回分の成長）</t>
  </si>
  <si>
    <t>10年目の1日あたり売上</t>
  </si>
  <si>
    <t>年目</t>
  </si>
  <si>
    <t>期間開始</t>
  </si>
  <si>
    <t>期間終了</t>
  </si>
  <si>
    <t>売上目標（億円）</t>
  </si>
  <si>
    <t>月平均（億円）</t>
  </si>
  <si>
    <t>1日あたり（万円）</t>
  </si>
  <si>
    <t>実績（億円）</t>
  </si>
  <si>
    <t>必要な受注件数（年）</t>
  </si>
  <si>
    <t>必要な商談数（年）</t>
  </si>
  <si>
    <t>必要な新規アプローチ数（年）</t>
  </si>
  <si>
    <t>1日あたり必要なアプローチ数</t>
  </si>
  <si>
    <t>必要な営業担当者数（目安）</t>
  </si>
  <si>
    <t>重点テーマ（例・書き換えてよい）</t>
  </si>
  <si>
    <t>再現できる売り方を確立する：顧客・商品・売り方を絞り込み、営業手順を文書にする</t>
  </si>
  <si>
    <t>売り方を人に移す：営業マニュアルを整え、最初の営業チームを採用する</t>
  </si>
  <si>
    <t>組織で売る：マネジャーを育て、KPIで管理する体制をつくる</t>
  </si>
  <si>
    <t>販路を増やす：マーケティング・紹介・パートナー経由の売上を増やす</t>
  </si>
  <si>
    <t>資金と管理体制：資金調達と管理部門を強化し、上場の準備を検討する</t>
  </si>
  <si>
    <t>2つ目の事業：新商品・新事業・新エリアに展開する</t>
  </si>
  <si>
    <t>M&amp;Aと提携：買収や提携で顧客・人材・商品を増やす</t>
  </si>
  <si>
    <t>経営チーム：事業ごとに責任者を置き、自分は方針と資本政策に集中する</t>
  </si>
  <si>
    <t>複数事業で伸ばす：事業の組み合わせで成長を続け、1つの市場の不振に左右されにくくする</t>
  </si>
  <si>
    <t>年商1000億円：次の10年の方針を決める</t>
  </si>
  <si>
    <t>必要な件数は、設定シートの平均受注単価・受注率・商談化率から計算する。単価や転換率が上がると、必要な件数と人数は減る。年商が大きくなるほど、1人の行動量ではなく、組織・単価・販路で売上をつくる必要があることがわかる。</t>
  </si>
  <si>
    <t>基本情報</t>
  </si>
  <si>
    <t>今日のTop3の結果</t>
  </si>
  <si>
    <t>日次決算（円）</t>
  </si>
  <si>
    <t>営業実績</t>
  </si>
  <si>
    <t>1000億への日課（○△×）</t>
  </si>
  <si>
    <t>明日の計画</t>
  </si>
  <si>
    <t>提出</t>
  </si>
  <si>
    <t>曜日</t>
  </si>
  <si>
    <t>今日のテーマ</t>
  </si>
  <si>
    <t>Top3①結果</t>
  </si>
  <si>
    <t>Top3②結果</t>
  </si>
  <si>
    <t>Top3③結果</t>
  </si>
  <si>
    <t>Top3実行率</t>
  </si>
  <si>
    <t>入金額</t>
  </si>
  <si>
    <t>出金額</t>
  </si>
  <si>
    <t>現預金残高</t>
  </si>
  <si>
    <t>商談</t>
  </si>
  <si>
    <t>提案・見積</t>
  </si>
  <si>
    <t>既存顧客接点</t>
  </si>
  <si>
    <t>紹介獲得</t>
  </si>
  <si>
    <t>日課達成率</t>
  </si>
  <si>
    <t>今日の成果</t>
  </si>
  <si>
    <t>Keep</t>
  </si>
  <si>
    <t>Problem</t>
  </si>
  <si>
    <t>Try</t>
  </si>
  <si>
    <t>明日のTop3①</t>
  </si>
  <si>
    <t>明日のTop3②</t>
  </si>
  <si>
    <t>明日のTop3③</t>
  </si>
  <si>
    <t>相談・決めること</t>
  </si>
  <si>
    <t>提出日時</t>
  </si>
  <si>
    <t>木</t>
  </si>
  <si>
    <t>新規開拓に集中する日</t>
  </si>
  <si>
    <t>△</t>
  </si>
  <si>
    <t>×</t>
  </si>
  <si>
    <t>新規1件受注（50万円）</t>
  </si>
  <si>
    <t>午前中に架電をまとめたらアポ率が上がった</t>
  </si>
  <si>
    <t>見積の作成に2時間かかった</t>
  </si>
  <si>
    <t>見積のテンプレートを作る</t>
  </si>
  <si>
    <t>決裁者が同席すると商談が早く進む</t>
  </si>
  <si>
    <t>A社に提案書を送る</t>
  </si>
  <si>
    <t>営業トークをマニュアルにする</t>
  </si>
  <si>
    <t>採用候補者と面談</t>
  </si>
  <si>
    <t>このシートは自動作成（編集しない）。Apps Scriptの「本日の日報を提出」は、この2行目を日次ログに書き込む。スクリプトを使わない場合は、2行目（A2〜AZ2）をコピーし、「日次ログ」の最終行の下に値のみ貼り付け（Ctrl+Shift+V）する。日付が数字で表示されたら、日次ログのA列を選んで「表示形式」→「数字」→「日付」にする。</t>
  </si>
</sst>
</file>

<file path=xl/styles.xml><?xml version="1.0" encoding="utf-8"?>
<styleSheet xmlns="http://schemas.openxmlformats.org/spreadsheetml/2006/main">
  <numFmts count="12">
    <numFmt numFmtId="164" formatCode="yyyy-mm-dd"/>
    <numFmt numFmtId="165" formatCode="yyyy/mm/dd"/>
    <numFmt numFmtId="166" formatCode="#,##0.0;▲#,##0.0;&quot;-&quot;"/>
    <numFmt numFmtId="167" formatCode="#,##0;▲#,##0;&quot;-&quot;"/>
    <numFmt numFmtId="168" formatCode="0.0%;▲0.0%;&quot;-&quot;"/>
    <numFmt numFmtId="169" formatCode="0&quot;日目&quot;"/>
    <numFmt numFmtId="170" formatCode="0&quot;年目&quot;"/>
    <numFmt numFmtId="171" formatCode="yyyy/mm/dd;;&quot;なし&quot;"/>
    <numFmt numFmtId="172" formatCode="yyyy/mm/dd hh:mm"/>
    <numFmt numFmtId="173" formatCode="#,##0.00;▲#,##0.00;&quot;-&quot;"/>
    <numFmt numFmtId="174" formatCode="yyyy/mm"/>
    <numFmt numFmtId="175" formatCode="0%;;&quot;-&quot;"/>
  </numFmts>
  <fonts count="12">
    <font>
      <name val="Calibri"/>
      <family val="2"/>
      <color rgb="FF000000"/>
      <sz val="11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i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EDF1F9"/>
        <bgColor rgb="00EDF1F9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8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0" borderId="5" pivotButton="0" quotePrefix="0" xfId="0"/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165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9" fontId="7" fillId="0" borderId="1" applyAlignment="1" pivotButton="0" quotePrefix="0" xfId="0">
      <alignment horizontal="right" vertical="center"/>
    </xf>
    <xf numFmtId="170" fontId="7" fillId="0" borderId="1" applyAlignment="1" pivotButton="0" quotePrefix="0" xfId="0">
      <alignment horizontal="center" vertical="center"/>
    </xf>
    <xf numFmtId="171" fontId="7" fillId="0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vertical="center"/>
    </xf>
    <xf numFmtId="168" fontId="4" fillId="0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7" fontId="5" fillId="3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7" fontId="8" fillId="0" borderId="1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168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165" fontId="0" fillId="0" borderId="0" pivotButton="0" quotePrefix="0" xfId="0"/>
    <xf numFmtId="167" fontId="0" fillId="0" borderId="0" pivotButton="0" quotePrefix="0" xfId="0"/>
    <xf numFmtId="0" fontId="10" fillId="6" borderId="1" applyAlignment="1" pivotButton="0" quotePrefix="0" xfId="0">
      <alignment vertical="center"/>
    </xf>
    <xf numFmtId="167" fontId="10" fillId="6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10" fillId="6" borderId="1" applyAlignment="1" pivotButton="0" quotePrefix="0" xfId="0">
      <alignment vertical="center"/>
    </xf>
    <xf numFmtId="9" fontId="7" fillId="0" borderId="1" applyAlignment="1" pivotButton="0" quotePrefix="0" xfId="0">
      <alignment vertical="center"/>
    </xf>
    <xf numFmtId="1" fontId="8" fillId="0" borderId="1" applyAlignment="1" pivotButton="0" quotePrefix="0" xfId="0">
      <alignment vertical="center"/>
    </xf>
    <xf numFmtId="170" fontId="5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74" fontId="4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vertical="center"/>
    </xf>
    <xf numFmtId="168" fontId="8" fillId="5" borderId="1" applyAlignment="1" pivotButton="0" quotePrefix="0" xfId="0">
      <alignment vertical="center"/>
    </xf>
    <xf numFmtId="174" fontId="3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" fontId="7" fillId="0" borderId="1" applyAlignment="1" pivotButton="0" quotePrefix="0" xfId="0">
      <alignment horizontal="center" vertical="center"/>
    </xf>
    <xf numFmtId="175" fontId="4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17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vertical="center"/>
    </xf>
    <xf numFmtId="173" fontId="7" fillId="0" borderId="1" applyAlignment="1" pivotButton="0" quotePrefix="0" xfId="0">
      <alignment vertical="center"/>
    </xf>
    <xf numFmtId="1" fontId="0" fillId="0" borderId="0" pivotButton="0" quotePrefix="0" xfId="0"/>
    <xf numFmtId="168" fontId="0" fillId="0" borderId="0" pivotButton="0" quotePrefix="0" xfId="0"/>
    <xf numFmtId="172" fontId="0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168" fontId="10" fillId="6" borderId="1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/>
    </xf>
    <xf numFmtId="172" fontId="10" fillId="6" borderId="1" applyAlignment="1" pivotButton="0" quotePrefix="0" xfId="0">
      <alignment vertical="center"/>
    </xf>
    <xf numFmtId="172" fontId="7" fillId="0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9" fontId="5" fillId="3" borderId="1" applyAlignment="1" pivotButton="0" quotePrefix="0" xfId="0">
      <alignment vertical="center"/>
    </xf>
    <xf numFmtId="166" fontId="5" fillId="3" borderId="1" applyAlignment="1" pivotButton="0" quotePrefix="0" xfId="0">
      <alignment vertical="center"/>
    </xf>
    <xf numFmtId="168" fontId="5" fillId="3" borderId="1" applyAlignment="1" pivotButton="0" quotePrefix="0" xfId="0">
      <alignment vertical="center"/>
    </xf>
    <xf numFmtId="1" fontId="5" fillId="3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F4CCCC"/>
          <bgColor rgb="00F4CCCC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CE5CD"/>
          <bgColor rgb="00FCE5CD"/>
        </patternFill>
      </fill>
    </dxf>
    <dxf>
      <font>
        <b val="1"/>
        <color rgb="00C00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sharedStrings" Target="sharedStrings.xml" Id="rIdStrings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34" customWidth="1" min="3" max="3"/>
  </cols>
  <sheetData>
    <row r="1">
      <c r="A1" s="1" t="s">
        <v>0</v>
      </c>
    </row>
    <row r="2" ht="30" customHeight="1">
      <c r="A2" s="2" t="s">
        <v>1</v>
      </c>
    </row>
    <row r="4" ht="20" customHeight="1">
      <c r="A4" s="3" t="s">
        <v>2</v>
      </c>
    </row>
    <row r="5" ht="42" customHeight="1">
      <c r="A5" s="4" t="s">
        <v>3</v>
      </c>
      <c r="B5" s="5" t="s">
        <v>4</v>
      </c>
      <c r="C5" s="6" t="n"/>
    </row>
    <row r="6" ht="42" customHeight="1">
      <c r="A6" s="4" t="s">
        <v>5</v>
      </c>
      <c r="B6" s="5" t="s">
        <v>6</v>
      </c>
      <c r="C6" s="6" t="n"/>
    </row>
    <row r="7" ht="42" customHeight="1">
      <c r="A7" s="4" t="s">
        <v>7</v>
      </c>
      <c r="B7" s="5" t="s">
        <v>8</v>
      </c>
      <c r="C7" s="6" t="n"/>
    </row>
    <row r="8" ht="42" customHeight="1">
      <c r="A8" s="4" t="s">
        <v>9</v>
      </c>
      <c r="B8" s="5" t="s">
        <v>10</v>
      </c>
      <c r="C8" s="6" t="n"/>
    </row>
    <row r="9" ht="42" customHeight="1">
      <c r="A9" s="4" t="s">
        <v>11</v>
      </c>
      <c r="B9" s="5" t="s">
        <v>12</v>
      </c>
      <c r="C9" s="6" t="n"/>
    </row>
    <row r="11" ht="20" customHeight="1">
      <c r="A11" s="3" t="s">
        <v>13</v>
      </c>
    </row>
    <row r="12">
      <c r="A12" s="7" t="s">
        <v>14</v>
      </c>
      <c r="B12" s="8" t="s">
        <v>15</v>
      </c>
      <c r="C12" s="6" t="n"/>
    </row>
    <row r="13">
      <c r="A13" s="8" t="s">
        <v>16</v>
      </c>
      <c r="B13" s="8" t="s">
        <v>17</v>
      </c>
      <c r="C13" s="6" t="n"/>
    </row>
    <row r="14">
      <c r="A14" s="9" t="s">
        <v>18</v>
      </c>
      <c r="B14" s="8" t="s">
        <v>19</v>
      </c>
      <c r="C14" s="6" t="n"/>
    </row>
    <row r="16" ht="20" customHeight="1">
      <c r="A16" s="3" t="s">
        <v>20</v>
      </c>
    </row>
    <row r="17" ht="32" customHeight="1">
      <c r="A17" s="10" t="s">
        <v>21</v>
      </c>
      <c r="B17" s="5" t="s">
        <v>22</v>
      </c>
      <c r="C17" s="6" t="n"/>
    </row>
    <row r="18" ht="32" customHeight="1">
      <c r="A18" s="10" t="s">
        <v>23</v>
      </c>
      <c r="B18" s="5" t="s">
        <v>24</v>
      </c>
      <c r="C18" s="6" t="n"/>
    </row>
    <row r="19" ht="60" customHeight="1">
      <c r="A19" s="10" t="s">
        <v>25</v>
      </c>
      <c r="B19" s="5" t="s">
        <v>26</v>
      </c>
      <c r="C19" s="6" t="n"/>
    </row>
    <row r="20" ht="32" customHeight="1">
      <c r="A20" s="10" t="s">
        <v>27</v>
      </c>
      <c r="B20" s="5" t="s">
        <v>28</v>
      </c>
      <c r="C20" s="6" t="n"/>
    </row>
    <row r="22" ht="20" customHeight="1">
      <c r="A22" s="3" t="s">
        <v>29</v>
      </c>
    </row>
    <row r="23">
      <c r="A23" s="11" t="s">
        <v>30</v>
      </c>
      <c r="B23" s="11" t="s">
        <v>31</v>
      </c>
      <c r="C23" s="11" t="s">
        <v>32</v>
      </c>
    </row>
    <row r="24">
      <c r="A24" s="12" t="s">
        <v>33</v>
      </c>
      <c r="B24" s="13" t="s">
        <v>34</v>
      </c>
      <c r="C24" s="13" t="s">
        <v>35</v>
      </c>
    </row>
    <row r="25">
      <c r="A25" s="12" t="s">
        <v>36</v>
      </c>
      <c r="B25" s="13" t="s">
        <v>37</v>
      </c>
      <c r="C25" s="13" t="s">
        <v>38</v>
      </c>
    </row>
    <row r="26">
      <c r="A26" s="12" t="s">
        <v>39</v>
      </c>
      <c r="B26" s="13" t="s">
        <v>40</v>
      </c>
      <c r="C26" s="13" t="s">
        <v>41</v>
      </c>
    </row>
    <row r="27">
      <c r="A27" s="12" t="s">
        <v>42</v>
      </c>
      <c r="B27" s="13" t="s">
        <v>43</v>
      </c>
      <c r="C27" s="13" t="s">
        <v>44</v>
      </c>
    </row>
    <row r="28">
      <c r="A28" s="12" t="s">
        <v>45</v>
      </c>
      <c r="B28" s="13" t="s">
        <v>46</v>
      </c>
      <c r="C28" s="13" t="s">
        <v>47</v>
      </c>
    </row>
    <row r="29">
      <c r="A29" s="12" t="s">
        <v>48</v>
      </c>
      <c r="B29" s="13" t="s">
        <v>49</v>
      </c>
      <c r="C29" s="13" t="s">
        <v>50</v>
      </c>
    </row>
    <row r="30">
      <c r="A30" s="12" t="s">
        <v>51</v>
      </c>
      <c r="B30" s="13" t="s">
        <v>52</v>
      </c>
      <c r="C30" s="13" t="s">
        <v>53</v>
      </c>
    </row>
    <row r="31">
      <c r="A31" s="12" t="s">
        <v>54</v>
      </c>
      <c r="B31" s="13" t="s">
        <v>55</v>
      </c>
      <c r="C31" s="13" t="s">
        <v>56</v>
      </c>
    </row>
    <row r="32">
      <c r="A32" s="12" t="s">
        <v>57</v>
      </c>
      <c r="B32" s="13" t="s">
        <v>58</v>
      </c>
      <c r="C32" s="13" t="s">
        <v>59</v>
      </c>
    </row>
    <row r="34" ht="20" customHeight="1">
      <c r="A34" s="3" t="s">
        <v>60</v>
      </c>
    </row>
    <row r="35" ht="28" customHeight="1">
      <c r="A35" s="14" t="s">
        <v>61</v>
      </c>
      <c r="B35" s="15" t="s">
        <v>62</v>
      </c>
    </row>
    <row r="36" ht="28" customHeight="1">
      <c r="A36" s="14" t="s">
        <v>61</v>
      </c>
      <c r="B36" s="15" t="s">
        <v>63</v>
      </c>
    </row>
    <row r="37" ht="28" customHeight="1">
      <c r="A37" s="14" t="s">
        <v>61</v>
      </c>
      <c r="B37" s="15" t="s">
        <v>64</v>
      </c>
    </row>
    <row r="38" ht="28" customHeight="1">
      <c r="A38" s="14" t="s">
        <v>61</v>
      </c>
      <c r="B38" s="15" t="s">
        <v>65</v>
      </c>
    </row>
  </sheetData>
  <mergeCells count="23">
    <mergeCell ref="B7:C7"/>
    <mergeCell ref="B18:C18"/>
    <mergeCell ref="A2:C2"/>
    <mergeCell ref="B12:C12"/>
    <mergeCell ref="A22:C22"/>
    <mergeCell ref="B14:C14"/>
    <mergeCell ref="B17:C17"/>
    <mergeCell ref="A4:C4"/>
    <mergeCell ref="B8:C8"/>
    <mergeCell ref="B13:C13"/>
    <mergeCell ref="B38:C38"/>
    <mergeCell ref="B19:C19"/>
    <mergeCell ref="B37:C37"/>
    <mergeCell ref="A34:C34"/>
    <mergeCell ref="B9:C9"/>
    <mergeCell ref="B6:C6"/>
    <mergeCell ref="A11:C11"/>
    <mergeCell ref="A1:C1"/>
    <mergeCell ref="B5:C5"/>
    <mergeCell ref="B20:C20"/>
    <mergeCell ref="B36:C36"/>
    <mergeCell ref="B35:C3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1C232"/>
    <outlinePr summaryBelow="1" summaryRight="1"/>
    <pageSetUpPr fitToPage="1"/>
  </sheetPr>
  <dimension ref="A1:F85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" customWidth="1" min="3" max="3"/>
    <col width="16" customWidth="1" min="4" max="4"/>
    <col width="11" customWidth="1" min="5" max="5"/>
    <col width="48" customWidth="1" min="6" max="6"/>
  </cols>
  <sheetData>
    <row r="1">
      <c r="A1" s="1" t="s">
        <v>139</v>
      </c>
    </row>
    <row r="2" ht="30" customHeight="1">
      <c r="A2" s="2" t="s">
        <v>140</v>
      </c>
    </row>
    <row r="4" ht="20" customHeight="1">
      <c r="A4" s="3" t="s">
        <v>141</v>
      </c>
    </row>
    <row r="5">
      <c r="A5" s="8" t="s">
        <v>77</v>
      </c>
      <c r="B5" s="16" t="n">
        <v>46296</v>
      </c>
      <c r="C5" s="17">
        <f>IF(B5="","",CHOOSE(WEEKDAY(B5),"日","月","火","水","木","金","土"))</f>
      </c>
      <c r="D5" s="8" t="s">
        <v>142</v>
      </c>
      <c r="E5" s="18">
        <f>IF(B5="","",B5-'設定'!$B$5+1)</f>
      </c>
      <c r="F5" s="2" t="s">
        <v>143</v>
      </c>
    </row>
    <row r="6">
      <c r="A6" s="8" t="s">
        <v>144</v>
      </c>
      <c r="B6" s="19">
        <f>MIN(10,IFERROR(DATEDIF('設定'!$B$5,B5,"Y")+1,1))</f>
      </c>
      <c r="C6" s="8" t="n"/>
      <c r="D6" s="8" t="s">
        <v>145</v>
      </c>
      <c r="E6" s="20">
        <f>_xlfn.MAXIFS('日次ログ'!$A:$A,'日次ログ'!$A:$A,"&lt;"&amp;$B$5)</f>
      </c>
      <c r="F6" s="2" t="s">
        <v>146</v>
      </c>
    </row>
    <row r="7">
      <c r="A7" s="8" t="s">
        <v>147</v>
      </c>
      <c r="B7" s="21" t="n"/>
      <c r="C7" s="8" t="n"/>
      <c r="D7" s="8" t="s">
        <v>120</v>
      </c>
      <c r="E7" s="22">
        <f>'設定'!$B$13&amp;""</f>
      </c>
      <c r="F7" s="2" t="s">
        <v>148</v>
      </c>
    </row>
    <row r="8">
      <c r="A8" s="8" t="s">
        <v>149</v>
      </c>
      <c r="B8" s="23" t="n"/>
      <c r="C8" s="24" t="n"/>
      <c r="D8" s="24" t="n"/>
      <c r="E8" s="24" t="n"/>
      <c r="F8" s="6" t="n"/>
    </row>
    <row r="10" ht="20" customHeight="1">
      <c r="A10" s="3" t="s">
        <v>150</v>
      </c>
    </row>
    <row r="11">
      <c r="A11" s="11" t="s">
        <v>68</v>
      </c>
      <c r="B11" s="11" t="s">
        <v>151</v>
      </c>
      <c r="C11" s="11" t="s">
        <v>152</v>
      </c>
      <c r="D11" s="24" t="n"/>
      <c r="E11" s="24" t="n"/>
      <c r="F11" s="6" t="n"/>
    </row>
    <row r="12" ht="30" customHeight="1">
      <c r="A12" s="8" t="s">
        <v>153</v>
      </c>
      <c r="B12" s="25" t="n"/>
      <c r="C12" s="26">
        <f>IFERROR(INDEX('日次ログ'!$AV:$AV,MATCH($E$6,'日次ログ'!$A:$A,0))&amp;"","")</f>
      </c>
      <c r="D12" s="24" t="n"/>
      <c r="E12" s="24" t="n"/>
      <c r="F12" s="6" t="n"/>
    </row>
    <row r="13" ht="30" customHeight="1">
      <c r="A13" s="8" t="s">
        <v>154</v>
      </c>
      <c r="B13" s="25" t="n"/>
      <c r="C13" s="26">
        <f>IFERROR(INDEX('日次ログ'!$AW:$AW,MATCH($E$6,'日次ログ'!$A:$A,0))&amp;"","")</f>
      </c>
      <c r="D13" s="24" t="n"/>
      <c r="E13" s="24" t="n"/>
      <c r="F13" s="6" t="n"/>
    </row>
    <row r="14" ht="30" customHeight="1">
      <c r="A14" s="8" t="s">
        <v>155</v>
      </c>
      <c r="B14" s="25" t="n"/>
      <c r="C14" s="26">
        <f>IFERROR(INDEX('日次ログ'!$AX:$AX,MATCH($E$6,'日次ログ'!$A:$A,0))&amp;"","")</f>
      </c>
      <c r="D14" s="24" t="n"/>
      <c r="E14" s="24" t="n"/>
      <c r="F14" s="6" t="n"/>
    </row>
    <row r="15">
      <c r="A15" s="8" t="s">
        <v>156</v>
      </c>
      <c r="B15" s="27">
        <f>IF(COUNTIF(C12:C14,"?*")=0,0,COUNTIF(B12:B14,"○")/COUNTIF(C12:C14,"?*"))</f>
      </c>
      <c r="C15" s="2" t="s">
        <v>157</v>
      </c>
    </row>
    <row r="17" ht="20" customHeight="1">
      <c r="A17" s="3" t="s">
        <v>158</v>
      </c>
    </row>
    <row r="18">
      <c r="A18" s="11" t="s">
        <v>68</v>
      </c>
      <c r="B18" s="11" t="s">
        <v>159</v>
      </c>
      <c r="C18" s="11" t="s">
        <v>70</v>
      </c>
      <c r="D18" s="11" t="s">
        <v>160</v>
      </c>
      <c r="E18" s="11" t="s">
        <v>161</v>
      </c>
      <c r="F18" s="11" t="s">
        <v>162</v>
      </c>
    </row>
    <row r="19">
      <c r="A19" s="8" t="s">
        <v>163</v>
      </c>
      <c r="B19" s="28">
        <f>B38</f>
      </c>
      <c r="C19" s="17" t="s">
        <v>94</v>
      </c>
      <c r="D19" s="28">
        <f>D21/365</f>
      </c>
      <c r="E19" s="29">
        <f t="shared" ref="E19:E21" si="0">IF(D19=0,0,B19/D19)</f>
      </c>
      <c r="F19" s="2" t="s">
        <v>164</v>
      </c>
    </row>
    <row r="20">
      <c r="A20" s="8" t="s">
        <v>165</v>
      </c>
      <c r="B20" s="30">
        <f>SUMIFS('日次ログ'!$J:$J,'日次ログ'!$A:$A,"&gt;="&amp;DATE(YEAR($B$5),MONTH($B$5),1),'日次ログ'!$A:$A,"&lt;"&amp;$B$5)+$B$38</f>
      </c>
      <c r="C20" s="17" t="s">
        <v>94</v>
      </c>
      <c r="D20" s="28">
        <f>D21/12</f>
      </c>
      <c r="E20" s="29">
        <f t="shared" si="0"/>
      </c>
      <c r="F20" s="2" t="s">
        <v>166</v>
      </c>
    </row>
    <row r="21">
      <c r="A21" s="8" t="s">
        <v>167</v>
      </c>
      <c r="B21" s="30">
        <f>SUMIFS('日次ログ'!$J:$J,'日次ログ'!$A:$A,"&gt;="&amp;EDATE('設定'!$B$5,12*($B$6-1)),'日次ログ'!$A:$A,"&lt;"&amp;$B$5)+$B$38</f>
      </c>
      <c r="C21" s="17" t="s">
        <v>94</v>
      </c>
      <c r="D21" s="30">
        <f>INDEX('10年計画'!$D$10:$D$19,$B$6)*10^8</f>
      </c>
      <c r="E21" s="29">
        <f t="shared" si="0"/>
      </c>
      <c r="F21" s="31">
        <f>"計画"&amp;$B$6&amp;"年目の目標（10年計画シート）"</f>
      </c>
    </row>
    <row r="22">
      <c r="A22" s="8" t="s">
        <v>168</v>
      </c>
      <c r="B22" s="28">
        <f>MAX(0,D20-B20)</f>
      </c>
      <c r="C22" s="17" t="s">
        <v>94</v>
      </c>
      <c r="F22" s="2" t="s">
        <v>169</v>
      </c>
    </row>
    <row r="23">
      <c r="A23" s="8" t="s">
        <v>170</v>
      </c>
      <c r="B23" s="28">
        <f>IF(EOMONTH($B$5,0)-$B$5&lt;=0,0,B22/(EOMONTH($B$5,0)-$B$5))</f>
      </c>
      <c r="C23" s="17" t="s">
        <v>94</v>
      </c>
      <c r="F23" s="2" t="s">
        <v>171</v>
      </c>
    </row>
    <row r="25" ht="20" customHeight="1">
      <c r="A25" s="3" t="s">
        <v>172</v>
      </c>
    </row>
    <row r="26">
      <c r="A26" s="11" t="s">
        <v>68</v>
      </c>
      <c r="B26" s="11" t="s">
        <v>159</v>
      </c>
      <c r="C26" s="11" t="s">
        <v>70</v>
      </c>
      <c r="D26" s="11" t="s">
        <v>160</v>
      </c>
      <c r="E26" s="11" t="s">
        <v>161</v>
      </c>
      <c r="F26" s="11" t="s">
        <v>162</v>
      </c>
    </row>
    <row r="27">
      <c r="A27" s="8" t="s">
        <v>173</v>
      </c>
      <c r="B27" s="32" t="n"/>
      <c r="C27" s="17" t="s">
        <v>111</v>
      </c>
      <c r="D27" s="33">
        <f>INDEX('10年計画'!$L$10:$L$19,$B$6)</f>
      </c>
      <c r="E27" s="29">
        <f>IF(D27=0,0,B27/D27)</f>
      </c>
      <c r="F27" s="2" t="s">
        <v>174</v>
      </c>
    </row>
    <row r="28">
      <c r="A28" s="8" t="s">
        <v>175</v>
      </c>
      <c r="B28" s="32" t="n"/>
      <c r="C28" s="17" t="s">
        <v>111</v>
      </c>
      <c r="D28" s="8" t="n"/>
      <c r="E28" s="8" t="n"/>
    </row>
    <row r="29">
      <c r="A29" s="8" t="s">
        <v>176</v>
      </c>
      <c r="B29" s="32" t="n"/>
      <c r="C29" s="17" t="s">
        <v>111</v>
      </c>
      <c r="D29" s="33">
        <f>INDEX('10年計画'!$J$10:$J$19,$B$6)/365</f>
      </c>
      <c r="E29" s="29">
        <f>IF(D29=0,0,B29/D29)</f>
      </c>
      <c r="F29" s="2" t="s">
        <v>177</v>
      </c>
    </row>
    <row r="30">
      <c r="A30" s="8" t="s">
        <v>178</v>
      </c>
      <c r="B30" s="32" t="n"/>
      <c r="C30" s="17" t="s">
        <v>111</v>
      </c>
      <c r="D30" s="8" t="n"/>
      <c r="E30" s="8" t="n"/>
    </row>
    <row r="31">
      <c r="A31" s="8" t="s">
        <v>179</v>
      </c>
      <c r="B31" s="32" t="n"/>
      <c r="C31" s="17" t="s">
        <v>111</v>
      </c>
      <c r="D31" s="33">
        <f>INDEX('10年計画'!$I$10:$I$19,$B$6)/365</f>
      </c>
      <c r="E31" s="29">
        <f t="shared" ref="E31:E33" si="1">IF(D31=0,0,B31/D31)</f>
      </c>
      <c r="F31" s="2" t="s">
        <v>180</v>
      </c>
    </row>
    <row r="32">
      <c r="A32" s="8" t="s">
        <v>181</v>
      </c>
      <c r="B32" s="32" t="n"/>
      <c r="C32" s="17" t="s">
        <v>94</v>
      </c>
      <c r="D32" s="28">
        <f>D19</f>
      </c>
      <c r="E32" s="29">
        <f t="shared" si="1"/>
      </c>
      <c r="F32" s="2" t="s">
        <v>182</v>
      </c>
    </row>
    <row r="33">
      <c r="A33" s="8" t="s">
        <v>183</v>
      </c>
      <c r="B33" s="32" t="n"/>
      <c r="C33" s="17" t="s">
        <v>116</v>
      </c>
      <c r="D33" s="33">
        <f>'設定'!$B$12</f>
      </c>
      <c r="E33" s="29">
        <f t="shared" si="1"/>
      </c>
      <c r="F33" s="2" t="s">
        <v>184</v>
      </c>
    </row>
    <row r="34">
      <c r="A34" s="8" t="s">
        <v>185</v>
      </c>
      <c r="B34" s="32" t="n"/>
      <c r="C34" s="17" t="s">
        <v>111</v>
      </c>
      <c r="D34" s="8" t="n"/>
      <c r="E34" s="8" t="n"/>
    </row>
    <row r="36" ht="20" customHeight="1">
      <c r="A36" s="3" t="s">
        <v>186</v>
      </c>
    </row>
    <row r="37">
      <c r="A37" s="11" t="s">
        <v>68</v>
      </c>
      <c r="B37" s="11" t="s">
        <v>187</v>
      </c>
      <c r="C37" s="11" t="s">
        <v>70</v>
      </c>
      <c r="D37" s="11" t="s">
        <v>188</v>
      </c>
      <c r="E37" s="11" t="inlineStr"/>
      <c r="F37" s="11" t="s">
        <v>162</v>
      </c>
    </row>
    <row r="38">
      <c r="A38" s="8" t="s">
        <v>189</v>
      </c>
      <c r="B38" s="32" t="n"/>
      <c r="C38" s="17" t="s">
        <v>94</v>
      </c>
      <c r="D38" s="30">
        <f>B20</f>
      </c>
      <c r="E38" s="8" t="n"/>
      <c r="F38" s="2" t="s">
        <v>190</v>
      </c>
    </row>
    <row r="39">
      <c r="A39" s="8" t="s">
        <v>191</v>
      </c>
      <c r="B39" s="30">
        <f>SUMIFS('経費ログ'!$D:$D,'経費ログ'!$A:$A,$B$5,'経費ログ'!$B:$B,"原価：*")</f>
      </c>
      <c r="C39" s="17" t="s">
        <v>94</v>
      </c>
      <c r="D39" s="30">
        <f>SUMIFS('経費ログ'!$D:$D,'経費ログ'!$A:$A,"&gt;="&amp;DATE(YEAR($B$5),MONTH($B$5),1),'経費ログ'!$A:$A,"&lt;="&amp;$B$5,'経費ログ'!$B:$B,"原価：*")</f>
      </c>
      <c r="E39" s="8" t="n"/>
      <c r="F39" s="2" t="s">
        <v>192</v>
      </c>
    </row>
    <row r="40">
      <c r="A40" s="12" t="s">
        <v>193</v>
      </c>
      <c r="B40" s="34">
        <f>B38-B39</f>
      </c>
      <c r="C40" s="17" t="s">
        <v>94</v>
      </c>
      <c r="D40" s="34">
        <f>D38-D39</f>
      </c>
      <c r="E40" s="8" t="n"/>
    </row>
    <row r="41">
      <c r="A41" s="8" t="s">
        <v>194</v>
      </c>
      <c r="B41" s="29">
        <f>IF(B38=0,0,B40/B38)</f>
      </c>
      <c r="C41" s="17" t="s">
        <v>100</v>
      </c>
      <c r="D41" s="29">
        <f>IF(D38=0,0,D40/D38)</f>
      </c>
      <c r="E41" s="8" t="n"/>
    </row>
    <row r="42">
      <c r="A42" s="8" t="s">
        <v>195</v>
      </c>
      <c r="B42" s="30">
        <f>SUMIFS('経費ログ'!$D:$D,'経費ログ'!$A:$A,$B$5)-B39</f>
      </c>
      <c r="C42" s="17" t="s">
        <v>94</v>
      </c>
      <c r="D42" s="30">
        <f>SUMIFS('経費ログ'!$D:$D,'経費ログ'!$A:$A,"&gt;="&amp;DATE(YEAR($B$5),MONTH($B$5),1),'経費ログ'!$A:$A,"&lt;="&amp;$B$5)-D39</f>
      </c>
      <c r="E42" s="8" t="n"/>
      <c r="F42" s="2" t="s">
        <v>196</v>
      </c>
    </row>
    <row r="43">
      <c r="A43" s="12" t="s">
        <v>197</v>
      </c>
      <c r="B43" s="34">
        <f>B40-B42</f>
      </c>
      <c r="C43" s="17" t="s">
        <v>94</v>
      </c>
      <c r="D43" s="34">
        <f>D40-D42</f>
      </c>
      <c r="E43" s="8" t="n"/>
    </row>
    <row r="44">
      <c r="A44" s="8" t="s">
        <v>198</v>
      </c>
      <c r="B44" s="29">
        <f>IF(B38=0,0,B43/B38)</f>
      </c>
      <c r="C44" s="17" t="s">
        <v>100</v>
      </c>
      <c r="D44" s="29">
        <f>IF(D38=0,0,D43/D38)</f>
      </c>
      <c r="E44" s="8" t="n"/>
    </row>
    <row r="45">
      <c r="A45" s="8" t="s">
        <v>199</v>
      </c>
      <c r="B45" s="35">
        <f>COUNTIFS('経費ログ'!$A:$A,$B$5)</f>
      </c>
      <c r="C45" s="17" t="s">
        <v>111</v>
      </c>
      <c r="F45" s="2" t="s">
        <v>200</v>
      </c>
    </row>
    <row r="46">
      <c r="A46" s="36" t="s">
        <v>201</v>
      </c>
    </row>
    <row r="47">
      <c r="A47" s="8" t="s">
        <v>202</v>
      </c>
      <c r="B47" s="30">
        <f>IFERROR(N(INDEX('日次ログ'!$Q:$Q,MATCH($E$6,'日次ログ'!$A:$A,0))),0)</f>
      </c>
      <c r="C47" s="17" t="s">
        <v>94</v>
      </c>
      <c r="F47" s="2" t="s">
        <v>203</v>
      </c>
    </row>
    <row r="48">
      <c r="A48" s="8" t="s">
        <v>204</v>
      </c>
      <c r="B48" s="32" t="n"/>
      <c r="C48" s="17" t="s">
        <v>94</v>
      </c>
    </row>
    <row r="49">
      <c r="A49" s="8" t="s">
        <v>205</v>
      </c>
      <c r="B49" s="32" t="n"/>
      <c r="C49" s="17" t="s">
        <v>94</v>
      </c>
    </row>
    <row r="50">
      <c r="A50" s="8" t="s">
        <v>206</v>
      </c>
      <c r="B50" s="28">
        <f>B47+B48-B49</f>
      </c>
      <c r="C50" s="17" t="s">
        <v>94</v>
      </c>
      <c r="F50" s="2" t="s">
        <v>207</v>
      </c>
    </row>
    <row r="51">
      <c r="A51" s="8" t="s">
        <v>208</v>
      </c>
      <c r="B51" s="32" t="n"/>
      <c r="C51" s="17" t="s">
        <v>94</v>
      </c>
      <c r="F51" s="2" t="s">
        <v>209</v>
      </c>
    </row>
    <row r="52">
      <c r="A52" s="8" t="s">
        <v>210</v>
      </c>
      <c r="B52" s="28">
        <f>IF(OR($B$51="",$E$6=0),0,B50-B51)</f>
      </c>
      <c r="C52" s="17" t="s">
        <v>94</v>
      </c>
      <c r="F52" s="2" t="s">
        <v>211</v>
      </c>
    </row>
    <row r="54" ht="20" customHeight="1">
      <c r="A54" s="3" t="s">
        <v>212</v>
      </c>
    </row>
    <row r="55">
      <c r="A55" s="11" t="s">
        <v>213</v>
      </c>
      <c r="B55" s="11" t="s">
        <v>151</v>
      </c>
      <c r="C55" s="11" t="s">
        <v>214</v>
      </c>
      <c r="D55" s="24" t="n"/>
      <c r="E55" s="6" t="n"/>
      <c r="F55" s="11" t="s">
        <v>215</v>
      </c>
    </row>
    <row r="56" ht="28" customHeight="1">
      <c r="A56" s="26">
        <f t="shared" ref="A56:A71" si="2">'毎日やること'!A5&amp;". "&amp;'毎日やること'!C5</f>
      </c>
      <c r="B56" s="25" t="n"/>
      <c r="C56" s="26">
        <f t="shared" ref="C56:C71" si="3">'毎日やること'!F5&amp;""</f>
      </c>
      <c r="D56" s="24" t="n"/>
      <c r="E56" s="6" t="n"/>
      <c r="F56" s="23" t="n"/>
    </row>
    <row r="57" ht="28" customHeight="1">
      <c r="A57" s="26">
        <f t="shared" si="2"/>
      </c>
      <c r="B57" s="25" t="n"/>
      <c r="C57" s="26">
        <f t="shared" si="3"/>
      </c>
      <c r="D57" s="24" t="n"/>
      <c r="E57" s="6" t="n"/>
      <c r="F57" s="23" t="n"/>
    </row>
    <row r="58" ht="28" customHeight="1">
      <c r="A58" s="26">
        <f t="shared" si="2"/>
      </c>
      <c r="B58" s="25" t="n"/>
      <c r="C58" s="26">
        <f t="shared" si="3"/>
      </c>
      <c r="D58" s="24" t="n"/>
      <c r="E58" s="6" t="n"/>
      <c r="F58" s="23" t="n"/>
    </row>
    <row r="59" ht="28" customHeight="1">
      <c r="A59" s="26">
        <f t="shared" si="2"/>
      </c>
      <c r="B59" s="25" t="n"/>
      <c r="C59" s="26">
        <f t="shared" si="3"/>
      </c>
      <c r="D59" s="24" t="n"/>
      <c r="E59" s="6" t="n"/>
      <c r="F59" s="23" t="n"/>
    </row>
    <row r="60" ht="28" customHeight="1">
      <c r="A60" s="26">
        <f t="shared" si="2"/>
      </c>
      <c r="B60" s="25" t="n"/>
      <c r="C60" s="26">
        <f t="shared" si="3"/>
      </c>
      <c r="D60" s="24" t="n"/>
      <c r="E60" s="6" t="n"/>
      <c r="F60" s="23" t="n"/>
    </row>
    <row r="61" ht="28" customHeight="1">
      <c r="A61" s="26">
        <f t="shared" si="2"/>
      </c>
      <c r="B61" s="25" t="n"/>
      <c r="C61" s="26">
        <f t="shared" si="3"/>
      </c>
      <c r="D61" s="24" t="n"/>
      <c r="E61" s="6" t="n"/>
      <c r="F61" s="23" t="n"/>
    </row>
    <row r="62" ht="28" customHeight="1">
      <c r="A62" s="26">
        <f t="shared" si="2"/>
      </c>
      <c r="B62" s="25" t="n"/>
      <c r="C62" s="26">
        <f t="shared" si="3"/>
      </c>
      <c r="D62" s="24" t="n"/>
      <c r="E62" s="6" t="n"/>
      <c r="F62" s="23" t="n"/>
    </row>
    <row r="63" ht="28" customHeight="1">
      <c r="A63" s="26">
        <f t="shared" si="2"/>
      </c>
      <c r="B63" s="25" t="n"/>
      <c r="C63" s="26">
        <f t="shared" si="3"/>
      </c>
      <c r="D63" s="24" t="n"/>
      <c r="E63" s="6" t="n"/>
      <c r="F63" s="23" t="n"/>
    </row>
    <row r="64" ht="28" customHeight="1">
      <c r="A64" s="26">
        <f t="shared" si="2"/>
      </c>
      <c r="B64" s="25" t="n"/>
      <c r="C64" s="26">
        <f t="shared" si="3"/>
      </c>
      <c r="D64" s="24" t="n"/>
      <c r="E64" s="6" t="n"/>
      <c r="F64" s="23" t="n"/>
    </row>
    <row r="65" ht="28" customHeight="1">
      <c r="A65" s="26">
        <f t="shared" si="2"/>
      </c>
      <c r="B65" s="25" t="n"/>
      <c r="C65" s="26">
        <f t="shared" si="3"/>
      </c>
      <c r="D65" s="24" t="n"/>
      <c r="E65" s="6" t="n"/>
      <c r="F65" s="23" t="n"/>
    </row>
    <row r="66" ht="28" customHeight="1">
      <c r="A66" s="26">
        <f t="shared" si="2"/>
      </c>
      <c r="B66" s="25" t="n"/>
      <c r="C66" s="26">
        <f t="shared" si="3"/>
      </c>
      <c r="D66" s="24" t="n"/>
      <c r="E66" s="6" t="n"/>
      <c r="F66" s="23" t="n"/>
    </row>
    <row r="67" ht="28" customHeight="1">
      <c r="A67" s="26">
        <f t="shared" si="2"/>
      </c>
      <c r="B67" s="25" t="n"/>
      <c r="C67" s="26">
        <f t="shared" si="3"/>
      </c>
      <c r="D67" s="24" t="n"/>
      <c r="E67" s="6" t="n"/>
      <c r="F67" s="23" t="n"/>
    </row>
    <row r="68" ht="28" customHeight="1">
      <c r="A68" s="26">
        <f t="shared" si="2"/>
      </c>
      <c r="B68" s="25" t="n"/>
      <c r="C68" s="26">
        <f t="shared" si="3"/>
      </c>
      <c r="D68" s="24" t="n"/>
      <c r="E68" s="6" t="n"/>
      <c r="F68" s="23" t="n"/>
    </row>
    <row r="69" ht="28" customHeight="1">
      <c r="A69" s="26">
        <f t="shared" si="2"/>
      </c>
      <c r="B69" s="25" t="n"/>
      <c r="C69" s="26">
        <f t="shared" si="3"/>
      </c>
      <c r="D69" s="24" t="n"/>
      <c r="E69" s="6" t="n"/>
      <c r="F69" s="23" t="n"/>
    </row>
    <row r="70" ht="28" customHeight="1">
      <c r="A70" s="26">
        <f t="shared" si="2"/>
      </c>
      <c r="B70" s="25" t="n"/>
      <c r="C70" s="26">
        <f t="shared" si="3"/>
      </c>
      <c r="D70" s="24" t="n"/>
      <c r="E70" s="6" t="n"/>
      <c r="F70" s="23" t="n"/>
    </row>
    <row r="71" ht="28" customHeight="1">
      <c r="A71" s="26">
        <f t="shared" si="2"/>
      </c>
      <c r="B71" s="25" t="n"/>
      <c r="C71" s="26">
        <f t="shared" si="3"/>
      </c>
      <c r="D71" s="24" t="n"/>
      <c r="E71" s="6" t="n"/>
      <c r="F71" s="23" t="n"/>
    </row>
    <row r="72">
      <c r="A72" s="12" t="s">
        <v>216</v>
      </c>
      <c r="B72" s="37">
        <f>IF(COUNTIF(A56:A71,"?*")=0,0,COUNTIF(B56:B71,"○")/COUNTIF(A56:A71,"?*"))</f>
      </c>
      <c r="C72" s="17">
        <f>"○ "&amp;COUNTIF(B56:B71,"○")&amp;"　△ "&amp;COUNTIF(B56:B71,"△")&amp;"　× "&amp;COUNTIF(B56:B71,"×")</f>
      </c>
      <c r="D72" s="24" t="n"/>
      <c r="E72" s="6" t="n"/>
      <c r="F72" s="2" t="s">
        <v>217</v>
      </c>
    </row>
    <row r="74" ht="20" customHeight="1">
      <c r="A74" s="3" t="s">
        <v>218</v>
      </c>
    </row>
    <row r="75" ht="36" customHeight="1">
      <c r="A75" s="13" t="s">
        <v>219</v>
      </c>
      <c r="B75" s="38" t="n"/>
      <c r="C75" s="24" t="n"/>
      <c r="D75" s="24" t="n"/>
      <c r="E75" s="24" t="n"/>
      <c r="F75" s="6" t="n"/>
    </row>
    <row r="76" ht="48" customHeight="1">
      <c r="A76" s="13" t="s">
        <v>220</v>
      </c>
      <c r="B76" s="38" t="n"/>
      <c r="C76" s="24" t="n"/>
      <c r="D76" s="24" t="n"/>
      <c r="E76" s="24" t="n"/>
      <c r="F76" s="6" t="n"/>
    </row>
    <row r="77" ht="48" customHeight="1">
      <c r="A77" s="13" t="s">
        <v>221</v>
      </c>
      <c r="B77" s="38" t="n"/>
      <c r="C77" s="24" t="n"/>
      <c r="D77" s="24" t="n"/>
      <c r="E77" s="24" t="n"/>
      <c r="F77" s="6" t="n"/>
    </row>
    <row r="78" ht="48" customHeight="1">
      <c r="A78" s="13" t="s">
        <v>222</v>
      </c>
      <c r="B78" s="38" t="n"/>
      <c r="C78" s="24" t="n"/>
      <c r="D78" s="24" t="n"/>
      <c r="E78" s="24" t="n"/>
      <c r="F78" s="6" t="n"/>
    </row>
    <row r="79" ht="36" customHeight="1">
      <c r="A79" s="13" t="s">
        <v>223</v>
      </c>
      <c r="B79" s="38" t="n"/>
      <c r="C79" s="24" t="n"/>
      <c r="D79" s="24" t="n"/>
      <c r="E79" s="24" t="n"/>
      <c r="F79" s="6" t="n"/>
    </row>
    <row r="80" ht="24" customHeight="1">
      <c r="A80" s="13" t="s">
        <v>224</v>
      </c>
      <c r="B80" s="38" t="n"/>
      <c r="C80" s="24" t="n"/>
      <c r="D80" s="24" t="n"/>
      <c r="E80" s="24" t="n"/>
      <c r="F80" s="6" t="n"/>
    </row>
    <row r="81" ht="24" customHeight="1">
      <c r="A81" s="13" t="s">
        <v>225</v>
      </c>
      <c r="B81" s="38" t="n"/>
      <c r="C81" s="24" t="n"/>
      <c r="D81" s="24" t="n"/>
      <c r="E81" s="24" t="n"/>
      <c r="F81" s="6" t="n"/>
    </row>
    <row r="82" ht="24" customHeight="1">
      <c r="A82" s="13" t="s">
        <v>226</v>
      </c>
      <c r="B82" s="38" t="n"/>
      <c r="C82" s="24" t="n"/>
      <c r="D82" s="24" t="n"/>
      <c r="E82" s="24" t="n"/>
      <c r="F82" s="6" t="n"/>
    </row>
    <row r="83" ht="36" customHeight="1">
      <c r="A83" s="13" t="s">
        <v>227</v>
      </c>
      <c r="B83" s="38" t="n"/>
      <c r="C83" s="24" t="n"/>
      <c r="D83" s="24" t="n"/>
      <c r="E83" s="24" t="n"/>
      <c r="F83" s="6" t="n"/>
    </row>
    <row r="85" ht="42" customHeight="1">
      <c r="A85" s="2" t="s">
        <v>228</v>
      </c>
    </row>
  </sheetData>
  <mergeCells count="44">
    <mergeCell ref="A54:F54"/>
    <mergeCell ref="B75:F75"/>
    <mergeCell ref="A46:F46"/>
    <mergeCell ref="C55:E55"/>
    <mergeCell ref="B81:F81"/>
    <mergeCell ref="A74:F74"/>
    <mergeCell ref="C56:E56"/>
    <mergeCell ref="C59:E59"/>
    <mergeCell ref="C13:F13"/>
    <mergeCell ref="A2:F2"/>
    <mergeCell ref="C60:E60"/>
    <mergeCell ref="C65:E65"/>
    <mergeCell ref="B77:F77"/>
    <mergeCell ref="A85:F85"/>
    <mergeCell ref="C71:E71"/>
    <mergeCell ref="C61:E61"/>
    <mergeCell ref="C70:E70"/>
    <mergeCell ref="C15:F15"/>
    <mergeCell ref="A17:F17"/>
    <mergeCell ref="A4:F4"/>
    <mergeCell ref="B8:F8"/>
    <mergeCell ref="C67:E67"/>
    <mergeCell ref="C14:F14"/>
    <mergeCell ref="B82:F82"/>
    <mergeCell ref="C72:E72"/>
    <mergeCell ref="A10:F10"/>
    <mergeCell ref="C66:E66"/>
    <mergeCell ref="C57:E57"/>
    <mergeCell ref="B78:F78"/>
    <mergeCell ref="C69:E69"/>
    <mergeCell ref="C68:E68"/>
    <mergeCell ref="C62:E62"/>
    <mergeCell ref="C58:E58"/>
    <mergeCell ref="B83:F83"/>
    <mergeCell ref="A36:F36"/>
    <mergeCell ref="A1:F1"/>
    <mergeCell ref="C12:F12"/>
    <mergeCell ref="B80:F80"/>
    <mergeCell ref="B76:F76"/>
    <mergeCell ref="C64:E64"/>
    <mergeCell ref="B79:F79"/>
    <mergeCell ref="C11:F11"/>
    <mergeCell ref="C63:E63"/>
    <mergeCell ref="A25:F25"/>
  </mergeCells>
  <conditionalFormatting sqref="B52">
    <cfRule type="cellIs" priority="1" operator="notEqual" dxfId="0">
      <formula>0</formula>
    </cfRule>
  </conditionalFormatting>
  <conditionalFormatting sqref="B12:B14 B56:B71">
    <cfRule type="cellIs" priority="2" operator="equal" dxfId="1">
      <formula>"○"</formula>
    </cfRule>
    <cfRule type="cellIs" priority="3" operator="equal" dxfId="2">
      <formula>"△"</formula>
    </cfRule>
    <cfRule type="cellIs" priority="4" operator="equal" dxfId="0">
      <formula>"×"</formula>
    </cfRule>
  </conditionalFormatting>
  <conditionalFormatting sqref="E19:E21">
    <cfRule type="cellIs" priority="5" operator="greaterThanOrEqual" dxfId="1">
      <formula>1</formula>
    </cfRule>
  </conditionalFormatting>
  <conditionalFormatting sqref="E27:E33">
    <cfRule type="cellIs" priority="6" operator="greaterThanOrEqual" dxfId="1">
      <formula>1</formula>
    </cfRule>
  </conditionalFormatting>
  <conditionalFormatting sqref="B72">
    <cfRule type="cellIs" priority="7" operator="greaterThanOrEqual" dxfId="1">
      <formula>0.8</formula>
    </cfRule>
  </conditionalFormatting>
  <dataValidations count="3">
    <dataValidation sqref="B7" showDropDown="0" showInputMessage="0" showErrorMessage="0" allowBlank="1" errorTitle="入力エラー" error="リストから選んでください" type="list">
      <formula1>"1,2,3,4,5"</formula1>
    </dataValidation>
    <dataValidation sqref="B12:B14 B56:B71" showDropDown="0" showInputMessage="0" showErrorMessage="0" allowBlank="1" errorTitle="入力エラー" error="リストから選んでください" type="list">
      <formula1>"○,△,×"</formula1>
    </dataValidation>
    <dataValidation sqref="B27:B34 B38 B48:B49 B51" showDropDown="0" showInputMessage="0" showErrorMessage="0" allowBlank="1" errorTitle="入力エラー" error="0以上の数値を入力してください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3" customWidth="1" min="4" max="4"/>
    <col width="44" customWidth="1" min="5" max="5"/>
    <col width="14" customWidth="1" min="6" max="6"/>
    <col width="52" customWidth="1" min="7" max="7"/>
  </cols>
  <sheetData>
    <row r="1">
      <c r="A1" s="1" t="s">
        <v>229</v>
      </c>
    </row>
    <row r="2" ht="20" customHeight="1">
      <c r="A2" s="39">
        <f>"10年目の目標 年"&amp;TEXT('設定'!$B$7,"#,##0")&amp;"億円は、1日あたり約"&amp;TEXT('設定'!$B$7/365,"#,##0.0")&amp;"億円。毎日の行動を下の16項目に分け、「本日の日報」で○△×をつける。"</f>
      </c>
    </row>
    <row r="3" ht="16" customHeight="1">
      <c r="A3" s="2" t="s">
        <v>230</v>
      </c>
    </row>
    <row r="4" ht="30" customHeight="1">
      <c r="A4" s="11" t="s">
        <v>231</v>
      </c>
      <c r="B4" s="11" t="s">
        <v>232</v>
      </c>
      <c r="C4" s="11" t="s">
        <v>36</v>
      </c>
      <c r="D4" s="11" t="s">
        <v>233</v>
      </c>
      <c r="E4" s="11" t="s">
        <v>234</v>
      </c>
      <c r="F4" s="11" t="s">
        <v>214</v>
      </c>
      <c r="G4" s="11" t="s">
        <v>235</v>
      </c>
    </row>
    <row r="5" ht="58" customHeight="1">
      <c r="A5" s="10" t="n">
        <v>1</v>
      </c>
      <c r="B5" s="10" t="s">
        <v>236</v>
      </c>
      <c r="C5" s="38" t="s">
        <v>237</v>
      </c>
      <c r="D5" s="38" t="s">
        <v>238</v>
      </c>
      <c r="E5" s="38" t="s">
        <v>239</v>
      </c>
      <c r="F5" s="38" t="s">
        <v>240</v>
      </c>
      <c r="G5" s="5" t="s">
        <v>241</v>
      </c>
    </row>
    <row r="6" ht="58" customHeight="1">
      <c r="A6" s="10" t="n">
        <v>2</v>
      </c>
      <c r="B6" s="10" t="s">
        <v>236</v>
      </c>
      <c r="C6" s="38" t="s">
        <v>242</v>
      </c>
      <c r="D6" s="38" t="s">
        <v>243</v>
      </c>
      <c r="E6" s="38" t="s">
        <v>244</v>
      </c>
      <c r="F6" s="38" t="s">
        <v>245</v>
      </c>
      <c r="G6" s="5" t="s">
        <v>246</v>
      </c>
    </row>
    <row r="7" ht="58" customHeight="1">
      <c r="A7" s="10" t="n">
        <v>3</v>
      </c>
      <c r="B7" s="10" t="s">
        <v>247</v>
      </c>
      <c r="C7" s="38" t="s">
        <v>248</v>
      </c>
      <c r="D7" s="38" t="s">
        <v>249</v>
      </c>
      <c r="E7" s="38" t="s">
        <v>250</v>
      </c>
      <c r="F7" s="38" t="s">
        <v>251</v>
      </c>
      <c r="G7" s="5" t="s">
        <v>252</v>
      </c>
    </row>
    <row r="8" ht="58" customHeight="1">
      <c r="A8" s="10" t="n">
        <v>4</v>
      </c>
      <c r="B8" s="10" t="s">
        <v>247</v>
      </c>
      <c r="C8" s="38" t="s">
        <v>253</v>
      </c>
      <c r="D8" s="38" t="s">
        <v>254</v>
      </c>
      <c r="E8" s="38" t="s">
        <v>255</v>
      </c>
      <c r="F8" s="38" t="s">
        <v>256</v>
      </c>
      <c r="G8" s="5" t="s">
        <v>257</v>
      </c>
    </row>
    <row r="9" ht="58" customHeight="1">
      <c r="A9" s="10" t="n">
        <v>5</v>
      </c>
      <c r="B9" s="10" t="s">
        <v>247</v>
      </c>
      <c r="C9" s="38" t="s">
        <v>258</v>
      </c>
      <c r="D9" s="38" t="s">
        <v>259</v>
      </c>
      <c r="E9" s="38" t="s">
        <v>260</v>
      </c>
      <c r="F9" s="38" t="s">
        <v>261</v>
      </c>
      <c r="G9" s="5" t="s">
        <v>262</v>
      </c>
    </row>
    <row r="10" ht="58" customHeight="1">
      <c r="A10" s="10" t="n">
        <v>6</v>
      </c>
      <c r="B10" s="10" t="s">
        <v>247</v>
      </c>
      <c r="C10" s="38" t="s">
        <v>263</v>
      </c>
      <c r="D10" s="38" t="s">
        <v>264</v>
      </c>
      <c r="E10" s="38" t="s">
        <v>265</v>
      </c>
      <c r="F10" s="38" t="s">
        <v>266</v>
      </c>
      <c r="G10" s="5" t="s">
        <v>267</v>
      </c>
    </row>
    <row r="11" ht="58" customHeight="1">
      <c r="A11" s="10" t="n">
        <v>7</v>
      </c>
      <c r="B11" s="10" t="s">
        <v>268</v>
      </c>
      <c r="C11" s="38" t="s">
        <v>269</v>
      </c>
      <c r="D11" s="38" t="s">
        <v>270</v>
      </c>
      <c r="E11" s="38" t="s">
        <v>271</v>
      </c>
      <c r="F11" s="38" t="s">
        <v>272</v>
      </c>
      <c r="G11" s="5" t="s">
        <v>273</v>
      </c>
    </row>
    <row r="12" ht="58" customHeight="1">
      <c r="A12" s="10" t="n">
        <v>8</v>
      </c>
      <c r="B12" s="10" t="s">
        <v>268</v>
      </c>
      <c r="C12" s="38" t="s">
        <v>274</v>
      </c>
      <c r="D12" s="38" t="s">
        <v>275</v>
      </c>
      <c r="E12" s="38" t="s">
        <v>276</v>
      </c>
      <c r="F12" s="38" t="s">
        <v>272</v>
      </c>
      <c r="G12" s="5" t="s">
        <v>277</v>
      </c>
    </row>
    <row r="13" ht="58" customHeight="1">
      <c r="A13" s="10" t="n">
        <v>9</v>
      </c>
      <c r="B13" s="10" t="s">
        <v>278</v>
      </c>
      <c r="C13" s="38" t="s">
        <v>279</v>
      </c>
      <c r="D13" s="38" t="s">
        <v>280</v>
      </c>
      <c r="E13" s="38" t="s">
        <v>281</v>
      </c>
      <c r="F13" s="38" t="s">
        <v>282</v>
      </c>
      <c r="G13" s="5" t="s">
        <v>283</v>
      </c>
    </row>
    <row r="14" ht="58" customHeight="1">
      <c r="A14" s="10" t="n">
        <v>10</v>
      </c>
      <c r="B14" s="10" t="s">
        <v>278</v>
      </c>
      <c r="C14" s="38" t="s">
        <v>284</v>
      </c>
      <c r="D14" s="38" t="s">
        <v>285</v>
      </c>
      <c r="E14" s="38" t="s">
        <v>286</v>
      </c>
      <c r="F14" s="38" t="s">
        <v>287</v>
      </c>
      <c r="G14" s="5" t="s">
        <v>288</v>
      </c>
    </row>
    <row r="15" ht="58" customHeight="1">
      <c r="A15" s="10" t="n">
        <v>11</v>
      </c>
      <c r="B15" s="10" t="s">
        <v>289</v>
      </c>
      <c r="C15" s="38" t="s">
        <v>290</v>
      </c>
      <c r="D15" s="38" t="s">
        <v>291</v>
      </c>
      <c r="E15" s="38" t="s">
        <v>292</v>
      </c>
      <c r="F15" s="38" t="s">
        <v>272</v>
      </c>
      <c r="G15" s="5" t="s">
        <v>293</v>
      </c>
    </row>
    <row r="16" ht="58" customHeight="1">
      <c r="A16" s="10" t="n">
        <v>12</v>
      </c>
      <c r="B16" s="10" t="s">
        <v>294</v>
      </c>
      <c r="C16" s="38" t="s">
        <v>295</v>
      </c>
      <c r="D16" s="38" t="s">
        <v>294</v>
      </c>
      <c r="E16" s="38" t="s">
        <v>296</v>
      </c>
      <c r="F16" s="38" t="s">
        <v>297</v>
      </c>
      <c r="G16" s="5" t="s">
        <v>298</v>
      </c>
    </row>
    <row r="17" ht="58" customHeight="1">
      <c r="A17" s="10" t="n">
        <v>13</v>
      </c>
      <c r="B17" s="10" t="s">
        <v>299</v>
      </c>
      <c r="C17" s="38" t="s">
        <v>300</v>
      </c>
      <c r="D17" s="38" t="s">
        <v>301</v>
      </c>
      <c r="E17" s="38" t="s">
        <v>302</v>
      </c>
      <c r="F17" s="38" t="s">
        <v>282</v>
      </c>
      <c r="G17" s="5" t="s">
        <v>303</v>
      </c>
    </row>
    <row r="18" ht="58" customHeight="1">
      <c r="A18" s="10" t="n">
        <v>14</v>
      </c>
      <c r="B18" s="10" t="s">
        <v>304</v>
      </c>
      <c r="C18" s="38" t="s">
        <v>305</v>
      </c>
      <c r="D18" s="38" t="s">
        <v>306</v>
      </c>
      <c r="E18" s="38" t="s">
        <v>307</v>
      </c>
      <c r="F18" s="38" t="s">
        <v>308</v>
      </c>
      <c r="G18" s="5" t="s">
        <v>309</v>
      </c>
    </row>
    <row r="19" ht="58" customHeight="1">
      <c r="A19" s="10" t="n">
        <v>15</v>
      </c>
      <c r="B19" s="10" t="s">
        <v>310</v>
      </c>
      <c r="C19" s="38" t="s">
        <v>311</v>
      </c>
      <c r="D19" s="38" t="s">
        <v>312</v>
      </c>
      <c r="E19" s="38" t="s">
        <v>313</v>
      </c>
      <c r="F19" s="38" t="s">
        <v>314</v>
      </c>
      <c r="G19" s="5" t="s">
        <v>315</v>
      </c>
    </row>
    <row r="20" ht="58" customHeight="1">
      <c r="A20" s="10" t="n">
        <v>16</v>
      </c>
      <c r="B20" s="10" t="s">
        <v>316</v>
      </c>
      <c r="C20" s="38" t="s">
        <v>317</v>
      </c>
      <c r="D20" s="38" t="s">
        <v>318</v>
      </c>
      <c r="E20" s="38" t="s">
        <v>319</v>
      </c>
      <c r="F20" s="38" t="s">
        <v>320</v>
      </c>
      <c r="G20" s="5" t="s">
        <v>321</v>
      </c>
    </row>
    <row r="22" ht="20" customHeight="1">
      <c r="A22" s="3" t="s">
        <v>322</v>
      </c>
    </row>
    <row r="23">
      <c r="A23" s="11" t="inlineStr"/>
      <c r="B23" s="11" t="s">
        <v>323</v>
      </c>
      <c r="C23" s="11" t="s">
        <v>324</v>
      </c>
      <c r="D23" s="24" t="n"/>
      <c r="E23" s="24" t="n"/>
      <c r="F23" s="24" t="n"/>
      <c r="G23" s="6" t="n"/>
    </row>
    <row r="24">
      <c r="A24" s="17" t="n">
        <v>1</v>
      </c>
      <c r="B24" s="17" t="s">
        <v>325</v>
      </c>
      <c r="C24" s="13" t="s">
        <v>326</v>
      </c>
      <c r="D24" s="24" t="n"/>
      <c r="E24" s="24" t="n"/>
      <c r="F24" s="24" t="n"/>
      <c r="G24" s="6" t="n"/>
    </row>
    <row r="25">
      <c r="A25" s="17" t="n">
        <v>2</v>
      </c>
      <c r="B25" s="17" t="s">
        <v>325</v>
      </c>
      <c r="C25" s="13" t="s">
        <v>327</v>
      </c>
      <c r="D25" s="24" t="n"/>
      <c r="E25" s="24" t="n"/>
      <c r="F25" s="24" t="n"/>
      <c r="G25" s="6" t="n"/>
    </row>
    <row r="26">
      <c r="A26" s="17" t="n">
        <v>3</v>
      </c>
      <c r="B26" s="17" t="s">
        <v>325</v>
      </c>
      <c r="C26" s="13" t="s">
        <v>328</v>
      </c>
      <c r="D26" s="24" t="n"/>
      <c r="E26" s="24" t="n"/>
      <c r="F26" s="24" t="n"/>
      <c r="G26" s="6" t="n"/>
    </row>
    <row r="27">
      <c r="A27" s="17" t="n">
        <v>4</v>
      </c>
      <c r="B27" s="17" t="s">
        <v>329</v>
      </c>
      <c r="C27" s="13" t="s">
        <v>330</v>
      </c>
      <c r="D27" s="24" t="n"/>
      <c r="E27" s="24" t="n"/>
      <c r="F27" s="24" t="n"/>
      <c r="G27" s="6" t="n"/>
    </row>
    <row r="28">
      <c r="A28" s="17" t="n">
        <v>5</v>
      </c>
      <c r="B28" s="17" t="s">
        <v>329</v>
      </c>
      <c r="C28" s="13" t="s">
        <v>331</v>
      </c>
      <c r="D28" s="24" t="n"/>
      <c r="E28" s="24" t="n"/>
      <c r="F28" s="24" t="n"/>
      <c r="G28" s="6" t="n"/>
    </row>
    <row r="29">
      <c r="A29" s="17" t="n">
        <v>6</v>
      </c>
      <c r="B29" s="17" t="s">
        <v>329</v>
      </c>
      <c r="C29" s="13" t="s">
        <v>332</v>
      </c>
      <c r="D29" s="24" t="n"/>
      <c r="E29" s="24" t="n"/>
      <c r="F29" s="24" t="n"/>
      <c r="G29" s="6" t="n"/>
    </row>
  </sheetData>
  <mergeCells count="11">
    <mergeCell ref="C29:G29"/>
    <mergeCell ref="A1:G1"/>
    <mergeCell ref="A3:G3"/>
    <mergeCell ref="C24:G24"/>
    <mergeCell ref="A22:G22"/>
    <mergeCell ref="C25:G25"/>
    <mergeCell ref="C28:G28"/>
    <mergeCell ref="C27:G27"/>
    <mergeCell ref="A2:G2"/>
    <mergeCell ref="C23:G23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1C232"/>
    <outlinePr summaryBelow="1" summaryRight="1"/>
    <pageSetUpPr/>
  </sheetPr>
  <dimension ref="A1:I6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40" min="1" max="1"/>
    <col width="20" customWidth="1" min="2" max="2"/>
    <col width="30" customWidth="1" min="3" max="3"/>
    <col width="14" customWidth="1" style="41" min="4" max="4"/>
    <col width="16" customWidth="1" min="5" max="5"/>
    <col width="8" customWidth="1" min="6" max="6"/>
    <col width="30" customWidth="1" min="7" max="7"/>
    <col width="3" customWidth="1" min="8" max="8"/>
    <col width="40" customWidth="1" min="9" max="9"/>
  </cols>
  <sheetData>
    <row r="1">
      <c r="A1" s="1" t="s">
        <v>333</v>
      </c>
    </row>
    <row r="2" ht="30" customHeight="1">
      <c r="A2" s="11" t="s">
        <v>77</v>
      </c>
      <c r="B2" s="11" t="s">
        <v>72</v>
      </c>
      <c r="C2" s="11" t="s">
        <v>334</v>
      </c>
      <c r="D2" s="11" t="s">
        <v>335</v>
      </c>
      <c r="E2" s="11" t="s">
        <v>73</v>
      </c>
      <c r="F2" s="11" t="s">
        <v>336</v>
      </c>
      <c r="G2" s="11" t="s">
        <v>162</v>
      </c>
      <c r="I2" s="2" t="s">
        <v>337</v>
      </c>
    </row>
    <row r="3">
      <c r="A3" s="42" t="s">
        <v>338</v>
      </c>
      <c r="B3" s="42" t="s">
        <v>96</v>
      </c>
      <c r="C3" s="42" t="s">
        <v>339</v>
      </c>
      <c r="D3" s="43" t="n">
        <v>1280</v>
      </c>
      <c r="E3" s="42" t="s">
        <v>103</v>
      </c>
      <c r="F3" s="42" t="s">
        <v>340</v>
      </c>
      <c r="G3" s="42" t="inlineStr"/>
    </row>
    <row r="4"/>
    <row r="5"/>
    <row r="6"/>
  </sheetData>
  <mergeCells count="2">
    <mergeCell ref="I2:I6"/>
    <mergeCell ref="A1:G1"/>
  </mergeCells>
  <dataValidations count="4">
    <dataValidation sqref="B3:B2000" showDropDown="0" showInputMessage="0" showErrorMessage="0" allowBlank="1" errorTitle="入力エラー" error="リストから選んでください" type="list">
      <formula1>'設定'!$F$5:$F$30</formula1>
    </dataValidation>
    <dataValidation sqref="E3:E2000" showDropDown="0" showInputMessage="0" showErrorMessage="0" allowBlank="1" errorTitle="入力エラー" error="リストから選んでください" type="list">
      <formula1>'設定'!$I$5:$I$12</formula1>
    </dataValidation>
    <dataValidation sqref="F3:F2000" showDropDown="0" showInputMessage="0" showErrorMessage="0" allowBlank="1" errorTitle="入力エラー" error="リストから選んでください" type="list">
      <formula1>"○,×"</formula1>
    </dataValidation>
    <dataValidation sqref="D3:D2000" showDropDown="0" showInputMessage="0" showErrorMessage="0" allowBlank="1" errorTitle="入力エラー" error="0以上の数値を入力してください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1C232"/>
    <outlinePr summaryBelow="1" summaryRight="1"/>
    <pageSetUpPr/>
  </sheetPr>
  <dimension ref="A1:Q16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40" min="1" max="1"/>
    <col width="18" customWidth="1" min="2" max="2"/>
    <col width="24" customWidth="1" min="3" max="3"/>
    <col width="11" customWidth="1" min="4" max="4"/>
    <col width="14" customWidth="1" style="41" min="5" max="5"/>
    <col width="12" customWidth="1" style="40" min="6" max="6"/>
    <col width="24" customWidth="1" min="7" max="7"/>
    <col width="12" customWidth="1" style="40" min="8" max="8"/>
    <col width="9" customWidth="1" min="9" max="9"/>
    <col width="14" customWidth="1" min="10" max="10"/>
    <col width="22" customWidth="1" min="11" max="11"/>
    <col width="3" customWidth="1" min="12" max="12"/>
    <col width="14" customWidth="1" min="13" max="13"/>
    <col width="7" customWidth="1" min="14" max="14"/>
    <col width="14" customWidth="1" min="15" max="15"/>
    <col width="7" customWidth="1" min="16" max="16"/>
    <col width="14" customWidth="1" min="17" max="17"/>
  </cols>
  <sheetData>
    <row r="1">
      <c r="A1" s="1" t="s">
        <v>341</v>
      </c>
    </row>
    <row r="2" ht="30" customHeight="1">
      <c r="A2" s="11" t="s">
        <v>342</v>
      </c>
      <c r="B2" s="11" t="s">
        <v>343</v>
      </c>
      <c r="C2" s="11" t="s">
        <v>344</v>
      </c>
      <c r="D2" s="11" t="s">
        <v>345</v>
      </c>
      <c r="E2" s="11" t="s">
        <v>346</v>
      </c>
      <c r="F2" s="11" t="s">
        <v>347</v>
      </c>
      <c r="G2" s="11" t="s">
        <v>348</v>
      </c>
      <c r="H2" s="11" t="s">
        <v>349</v>
      </c>
      <c r="I2" s="11" t="s">
        <v>350</v>
      </c>
      <c r="J2" s="11" t="s">
        <v>351</v>
      </c>
      <c r="K2" s="11" t="s">
        <v>162</v>
      </c>
      <c r="M2" s="44" t="s">
        <v>352</v>
      </c>
    </row>
    <row r="3">
      <c r="A3" s="42" t="s">
        <v>338</v>
      </c>
      <c r="B3" s="42" t="s">
        <v>353</v>
      </c>
      <c r="C3" s="42" t="s">
        <v>354</v>
      </c>
      <c r="D3" s="42" t="s">
        <v>98</v>
      </c>
      <c r="E3" s="43" t="n">
        <v>1500000</v>
      </c>
      <c r="F3" s="45" t="n">
        <v>46356</v>
      </c>
      <c r="G3" s="42" t="s">
        <v>355</v>
      </c>
      <c r="H3" s="45" t="n">
        <v>46300</v>
      </c>
      <c r="I3" s="42" t="s">
        <v>356</v>
      </c>
      <c r="J3" s="42" t="s">
        <v>357</v>
      </c>
      <c r="K3" s="42" t="inlineStr"/>
      <c r="M3" s="11" t="s">
        <v>345</v>
      </c>
      <c r="N3" s="11" t="s">
        <v>358</v>
      </c>
      <c r="O3" s="11" t="s">
        <v>359</v>
      </c>
      <c r="P3" s="11" t="s">
        <v>75</v>
      </c>
      <c r="Q3" s="11" t="s">
        <v>360</v>
      </c>
    </row>
    <row r="4">
      <c r="M4" s="9">
        <f t="shared" ref="M4:M11" si="0">'設定'!K5&amp;""</f>
      </c>
      <c r="N4" s="28">
        <f t="shared" ref="N4:N11" si="1">COUNTIFS($A:$A,"&gt;0",$D:$D,M4)</f>
      </c>
      <c r="O4" s="28">
        <f t="shared" ref="O4:O11" si="2">SUMIFS($E:$E,$A:$A,"&gt;0",$D:$D,M4)</f>
      </c>
      <c r="P4" s="46">
        <f t="shared" ref="P4:P11" si="3">'設定'!L5</f>
      </c>
      <c r="Q4" s="28">
        <f t="shared" ref="Q4:Q11" si="4">O4*P4</f>
      </c>
    </row>
    <row r="5">
      <c r="M5" s="9">
        <f t="shared" si="0"/>
      </c>
      <c r="N5" s="28">
        <f t="shared" si="1"/>
      </c>
      <c r="O5" s="28">
        <f t="shared" si="2"/>
      </c>
      <c r="P5" s="46">
        <f t="shared" si="3"/>
      </c>
      <c r="Q5" s="28">
        <f t="shared" si="4"/>
      </c>
    </row>
    <row r="6">
      <c r="M6" s="9">
        <f t="shared" si="0"/>
      </c>
      <c r="N6" s="28">
        <f t="shared" si="1"/>
      </c>
      <c r="O6" s="28">
        <f t="shared" si="2"/>
      </c>
      <c r="P6" s="46">
        <f t="shared" si="3"/>
      </c>
      <c r="Q6" s="28">
        <f t="shared" si="4"/>
      </c>
    </row>
    <row r="7">
      <c r="M7" s="9">
        <f t="shared" si="0"/>
      </c>
      <c r="N7" s="28">
        <f t="shared" si="1"/>
      </c>
      <c r="O7" s="28">
        <f t="shared" si="2"/>
      </c>
      <c r="P7" s="46">
        <f t="shared" si="3"/>
      </c>
      <c r="Q7" s="28">
        <f t="shared" si="4"/>
      </c>
    </row>
    <row r="8">
      <c r="M8" s="9">
        <f t="shared" si="0"/>
      </c>
      <c r="N8" s="28">
        <f t="shared" si="1"/>
      </c>
      <c r="O8" s="28">
        <f t="shared" si="2"/>
      </c>
      <c r="P8" s="46">
        <f t="shared" si="3"/>
      </c>
      <c r="Q8" s="28">
        <f t="shared" si="4"/>
      </c>
    </row>
    <row r="9">
      <c r="M9" s="9">
        <f t="shared" si="0"/>
      </c>
      <c r="N9" s="28">
        <f t="shared" si="1"/>
      </c>
      <c r="O9" s="28">
        <f t="shared" si="2"/>
      </c>
      <c r="P9" s="46">
        <f t="shared" si="3"/>
      </c>
      <c r="Q9" s="28">
        <f t="shared" si="4"/>
      </c>
    </row>
    <row r="10">
      <c r="M10" s="9">
        <f t="shared" si="0"/>
      </c>
      <c r="N10" s="28">
        <f t="shared" si="1"/>
      </c>
      <c r="O10" s="28">
        <f t="shared" si="2"/>
      </c>
      <c r="P10" s="46">
        <f t="shared" si="3"/>
      </c>
      <c r="Q10" s="28">
        <f t="shared" si="4"/>
      </c>
    </row>
    <row r="11">
      <c r="M11" s="9">
        <f t="shared" si="0"/>
      </c>
      <c r="N11" s="28">
        <f t="shared" si="1"/>
      </c>
      <c r="O11" s="28">
        <f t="shared" si="2"/>
      </c>
      <c r="P11" s="46">
        <f t="shared" si="3"/>
      </c>
      <c r="Q11" s="28">
        <f t="shared" si="4"/>
      </c>
    </row>
    <row r="12">
      <c r="M12" s="12" t="s">
        <v>361</v>
      </c>
      <c r="N12" s="34">
        <f t="shared" ref="N12:O12" si="5">SUM(N4:N11)</f>
      </c>
      <c r="O12" s="34">
        <f t="shared" si="5"/>
      </c>
      <c r="P12" s="8" t="n"/>
      <c r="Q12" s="34">
        <f>SUM(Q4:Q11)</f>
      </c>
    </row>
    <row r="14" ht="28" customHeight="1">
      <c r="M14" s="8" t="s">
        <v>362</v>
      </c>
      <c r="N14" s="47">
        <f>COUNTIFS($A:$A,"&gt;0",$H:$H,"&lt;"&amp;TODAY(),$D:$D,"&lt;&gt;"&amp;'設定'!$K$10,$D:$D,"&lt;&gt;"&amp;'設定'!$K$11)</f>
      </c>
      <c r="O14" s="2" t="s">
        <v>363</v>
      </c>
    </row>
    <row r="16" ht="28" customHeight="1">
      <c r="M16" s="2" t="s">
        <v>364</v>
      </c>
    </row>
  </sheetData>
  <mergeCells count="3">
    <mergeCell ref="M16:Q16"/>
    <mergeCell ref="A1:K1"/>
    <mergeCell ref="O14:Q14"/>
  </mergeCells>
  <conditionalFormatting sqref="H3:H2000">
    <cfRule type="expression" priority="1" dxfId="3">
      <formula>AND(ISNUMBER($A3),$H3&lt;&gt;"",$H3&lt;TODAY(),$D3&lt;&gt;"受注",$D3&lt;&gt;"失注")</formula>
    </cfRule>
  </conditionalFormatting>
  <dataValidations count="2">
    <dataValidation sqref="D3:D2000" showDropDown="0" showInputMessage="0" showErrorMessage="0" allowBlank="1" errorTitle="入力エラー" error="リストから選んでください" type="list">
      <formula1>'設定'!$K$5:$K$12</formula1>
    </dataValidation>
    <dataValidation sqref="E3:E2000" showDropDown="0" showInputMessage="0" showErrorMessage="0" allowBlank="1" errorTitle="入力エラー" error="0以上の数値を入力してください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s">
        <v>365</v>
      </c>
    </row>
    <row r="2" ht="18" customHeight="1">
      <c r="A2" s="2" t="s">
        <v>366</v>
      </c>
    </row>
    <row r="4">
      <c r="A4" s="12" t="s">
        <v>367</v>
      </c>
      <c r="B4" s="48" t="n">
        <v>1</v>
      </c>
    </row>
    <row r="5">
      <c r="A5" s="8" t="s">
        <v>368</v>
      </c>
      <c r="B5" s="49">
        <f>EDATE('設定'!$B$5,12*($B$4-1))</f>
      </c>
      <c r="C5" s="50" t="s">
        <v>369</v>
      </c>
      <c r="D5" s="49">
        <f>EDATE('設定'!$B$5,12*$B$4)-1</f>
      </c>
    </row>
    <row r="7" ht="32" customHeight="1">
      <c r="A7" s="11" t="s">
        <v>370</v>
      </c>
      <c r="B7" s="11" t="s">
        <v>189</v>
      </c>
      <c r="C7" s="11" t="s">
        <v>371</v>
      </c>
      <c r="D7" s="11" t="s">
        <v>161</v>
      </c>
      <c r="E7" s="11" t="s">
        <v>191</v>
      </c>
      <c r="F7" s="11" t="s">
        <v>193</v>
      </c>
      <c r="G7" s="11" t="s">
        <v>194</v>
      </c>
      <c r="H7" s="11" t="s">
        <v>195</v>
      </c>
      <c r="I7" s="11" t="s">
        <v>197</v>
      </c>
      <c r="J7" s="11" t="s">
        <v>198</v>
      </c>
      <c r="K7" s="11" t="s">
        <v>254</v>
      </c>
      <c r="L7" s="11" t="s">
        <v>372</v>
      </c>
      <c r="M7" s="11" t="s">
        <v>179</v>
      </c>
      <c r="N7" s="11" t="s">
        <v>181</v>
      </c>
      <c r="O7" s="11" t="s">
        <v>373</v>
      </c>
      <c r="P7" s="11" t="s">
        <v>374</v>
      </c>
      <c r="Q7" s="11" t="s">
        <v>375</v>
      </c>
      <c r="R7" s="11" t="s">
        <v>376</v>
      </c>
      <c r="S7" s="11" t="s">
        <v>377</v>
      </c>
    </row>
    <row r="8">
      <c r="A8" s="51">
        <f>DATE(YEAR($B$5),MONTH($B$5),1)</f>
      </c>
      <c r="B8" s="30">
        <f t="shared" ref="B8:B19" si="0">SUMIFS('日次ログ'!$J:$J,'日次ログ'!$A:$A,"&gt;="&amp;$A8,'日次ログ'!$A:$A,"&lt;="&amp;EOMONTH($A8,0))</f>
      </c>
      <c r="C8" s="30">
        <f t="shared" ref="C8:C19" si="1">INDEX('10年計画'!$D$10:$D$19,$B$4)*10^8/12</f>
      </c>
      <c r="D8" s="29">
        <f t="shared" ref="D8:D20" si="2">IF(C8=0,0,B8/C8)</f>
      </c>
      <c r="E8" s="30">
        <f t="shared" ref="E8:E19" si="3">SUMIFS('経費ログ'!$D:$D,'経費ログ'!$A:$A,"&gt;="&amp;$A8,'経費ログ'!$A:$A,"&lt;="&amp;EOMONTH($A8,0),'経費ログ'!$B:$B,"原価：*")</f>
      </c>
      <c r="F8" s="28">
        <f t="shared" ref="F8:F19" si="4">B8-E8</f>
      </c>
      <c r="G8" s="29">
        <f t="shared" ref="G8:G20" si="5">IF(B8=0,0,F8/B8)</f>
      </c>
      <c r="H8" s="30">
        <f t="shared" ref="H8:H19" si="6">SUMIFS('経費ログ'!$D:$D,'経費ログ'!$A:$A,"&gt;="&amp;$A8,'経費ログ'!$A:$A,"&lt;="&amp;EOMONTH($A8,0))-E8</f>
      </c>
      <c r="I8" s="28">
        <f t="shared" ref="I8:I19" si="7">F8-H8</f>
      </c>
      <c r="J8" s="29">
        <f t="shared" ref="J8:J20" si="8">IF(B8=0,0,I8/B8)</f>
      </c>
      <c r="K8" s="30">
        <f t="shared" ref="K8:K19" si="9">SUMIFS('日次ログ'!$R:$R,'日次ログ'!$A:$A,"&gt;="&amp;$A8,'日次ログ'!$A:$A,"&lt;="&amp;EOMONTH($A8,0))</f>
      </c>
      <c r="L8" s="30">
        <f t="shared" ref="L8:L19" si="10">SUMIFS('日次ログ'!$T:$T,'日次ログ'!$A:$A,"&gt;="&amp;$A8,'日次ログ'!$A:$A,"&lt;="&amp;EOMONTH($A8,0))</f>
      </c>
      <c r="M8" s="30">
        <f t="shared" ref="M8:M19" si="11">SUMIFS('日次ログ'!$V:$V,'日次ログ'!$A:$A,"&gt;="&amp;$A8,'日次ログ'!$A:$A,"&lt;="&amp;EOMONTH($A8,0))</f>
      </c>
      <c r="N8" s="30">
        <f t="shared" ref="N8:N19" si="12">SUMIFS('日次ログ'!$W:$W,'日次ログ'!$A:$A,"&gt;="&amp;$A8,'日次ログ'!$A:$A,"&lt;="&amp;EOMONTH($A8,0))</f>
      </c>
      <c r="O8" s="29">
        <f t="shared" ref="O8:Q20" si="13">IF(K8=0,0,L8/K8)</f>
      </c>
      <c r="P8" s="29">
        <f t="shared" si="13"/>
      </c>
      <c r="Q8" s="28">
        <f t="shared" si="13"/>
      </c>
      <c r="R8" s="30">
        <f t="shared" ref="R8:R19" si="14">COUNTIFS('日次ログ'!$A:$A,"&gt;="&amp;$A8,'日次ログ'!$A:$A,"&lt;="&amp;EOMONTH($A8,0))</f>
      </c>
      <c r="S8" s="52">
        <f t="shared" ref="S8:S19" si="15">IF(R8=0,0,SUMIFS('日次ログ'!$AP:$AP,'日次ログ'!$A:$A,"&gt;="&amp;$A8,'日次ログ'!$A:$A,"&lt;="&amp;EOMONTH($A8,0))/R8)</f>
      </c>
    </row>
    <row r="9">
      <c r="A9" s="51">
        <f t="shared" ref="A9:A19" si="16">EDATE(A8,1)</f>
      </c>
      <c r="B9" s="30">
        <f t="shared" si="0"/>
      </c>
      <c r="C9" s="30">
        <f t="shared" si="1"/>
      </c>
      <c r="D9" s="29">
        <f t="shared" si="2"/>
      </c>
      <c r="E9" s="30">
        <f t="shared" si="3"/>
      </c>
      <c r="F9" s="28">
        <f t="shared" si="4"/>
      </c>
      <c r="G9" s="29">
        <f t="shared" si="5"/>
      </c>
      <c r="H9" s="30">
        <f t="shared" si="6"/>
      </c>
      <c r="I9" s="28">
        <f t="shared" si="7"/>
      </c>
      <c r="J9" s="29">
        <f t="shared" si="8"/>
      </c>
      <c r="K9" s="30">
        <f t="shared" si="9"/>
      </c>
      <c r="L9" s="30">
        <f t="shared" si="10"/>
      </c>
      <c r="M9" s="30">
        <f t="shared" si="11"/>
      </c>
      <c r="N9" s="30">
        <f t="shared" si="12"/>
      </c>
      <c r="O9" s="29">
        <f t="shared" si="13"/>
      </c>
      <c r="P9" s="29">
        <f t="shared" si="13"/>
      </c>
      <c r="Q9" s="28">
        <f t="shared" si="13"/>
      </c>
      <c r="R9" s="30">
        <f t="shared" si="14"/>
      </c>
      <c r="S9" s="52">
        <f t="shared" si="15"/>
      </c>
    </row>
    <row r="10">
      <c r="A10" s="51">
        <f t="shared" si="16"/>
      </c>
      <c r="B10" s="30">
        <f t="shared" si="0"/>
      </c>
      <c r="C10" s="30">
        <f t="shared" si="1"/>
      </c>
      <c r="D10" s="29">
        <f t="shared" si="2"/>
      </c>
      <c r="E10" s="30">
        <f t="shared" si="3"/>
      </c>
      <c r="F10" s="28">
        <f t="shared" si="4"/>
      </c>
      <c r="G10" s="29">
        <f t="shared" si="5"/>
      </c>
      <c r="H10" s="30">
        <f t="shared" si="6"/>
      </c>
      <c r="I10" s="28">
        <f t="shared" si="7"/>
      </c>
      <c r="J10" s="29">
        <f t="shared" si="8"/>
      </c>
      <c r="K10" s="30">
        <f t="shared" si="9"/>
      </c>
      <c r="L10" s="30">
        <f t="shared" si="10"/>
      </c>
      <c r="M10" s="30">
        <f t="shared" si="11"/>
      </c>
      <c r="N10" s="30">
        <f t="shared" si="12"/>
      </c>
      <c r="O10" s="29">
        <f t="shared" si="13"/>
      </c>
      <c r="P10" s="29">
        <f t="shared" si="13"/>
      </c>
      <c r="Q10" s="28">
        <f t="shared" si="13"/>
      </c>
      <c r="R10" s="30">
        <f t="shared" si="14"/>
      </c>
      <c r="S10" s="52">
        <f t="shared" si="15"/>
      </c>
    </row>
    <row r="11">
      <c r="A11" s="51">
        <f t="shared" si="16"/>
      </c>
      <c r="B11" s="30">
        <f t="shared" si="0"/>
      </c>
      <c r="C11" s="30">
        <f t="shared" si="1"/>
      </c>
      <c r="D11" s="29">
        <f t="shared" si="2"/>
      </c>
      <c r="E11" s="30">
        <f t="shared" si="3"/>
      </c>
      <c r="F11" s="28">
        <f t="shared" si="4"/>
      </c>
      <c r="G11" s="29">
        <f t="shared" si="5"/>
      </c>
      <c r="H11" s="30">
        <f t="shared" si="6"/>
      </c>
      <c r="I11" s="28">
        <f t="shared" si="7"/>
      </c>
      <c r="J11" s="29">
        <f t="shared" si="8"/>
      </c>
      <c r="K11" s="30">
        <f t="shared" si="9"/>
      </c>
      <c r="L11" s="30">
        <f t="shared" si="10"/>
      </c>
      <c r="M11" s="30">
        <f t="shared" si="11"/>
      </c>
      <c r="N11" s="30">
        <f t="shared" si="12"/>
      </c>
      <c r="O11" s="29">
        <f t="shared" si="13"/>
      </c>
      <c r="P11" s="29">
        <f t="shared" si="13"/>
      </c>
      <c r="Q11" s="28">
        <f t="shared" si="13"/>
      </c>
      <c r="R11" s="30">
        <f t="shared" si="14"/>
      </c>
      <c r="S11" s="52">
        <f t="shared" si="15"/>
      </c>
    </row>
    <row r="12">
      <c r="A12" s="51">
        <f t="shared" si="16"/>
      </c>
      <c r="B12" s="30">
        <f t="shared" si="0"/>
      </c>
      <c r="C12" s="30">
        <f t="shared" si="1"/>
      </c>
      <c r="D12" s="29">
        <f t="shared" si="2"/>
      </c>
      <c r="E12" s="30">
        <f t="shared" si="3"/>
      </c>
      <c r="F12" s="28">
        <f t="shared" si="4"/>
      </c>
      <c r="G12" s="29">
        <f t="shared" si="5"/>
      </c>
      <c r="H12" s="30">
        <f t="shared" si="6"/>
      </c>
      <c r="I12" s="28">
        <f t="shared" si="7"/>
      </c>
      <c r="J12" s="29">
        <f t="shared" si="8"/>
      </c>
      <c r="K12" s="30">
        <f t="shared" si="9"/>
      </c>
      <c r="L12" s="30">
        <f t="shared" si="10"/>
      </c>
      <c r="M12" s="30">
        <f t="shared" si="11"/>
      </c>
      <c r="N12" s="30">
        <f t="shared" si="12"/>
      </c>
      <c r="O12" s="29">
        <f t="shared" si="13"/>
      </c>
      <c r="P12" s="29">
        <f t="shared" si="13"/>
      </c>
      <c r="Q12" s="28">
        <f t="shared" si="13"/>
      </c>
      <c r="R12" s="30">
        <f t="shared" si="14"/>
      </c>
      <c r="S12" s="52">
        <f t="shared" si="15"/>
      </c>
    </row>
    <row r="13">
      <c r="A13" s="51">
        <f t="shared" si="16"/>
      </c>
      <c r="B13" s="30">
        <f t="shared" si="0"/>
      </c>
      <c r="C13" s="30">
        <f t="shared" si="1"/>
      </c>
      <c r="D13" s="29">
        <f t="shared" si="2"/>
      </c>
      <c r="E13" s="30">
        <f t="shared" si="3"/>
      </c>
      <c r="F13" s="28">
        <f t="shared" si="4"/>
      </c>
      <c r="G13" s="29">
        <f t="shared" si="5"/>
      </c>
      <c r="H13" s="30">
        <f t="shared" si="6"/>
      </c>
      <c r="I13" s="28">
        <f t="shared" si="7"/>
      </c>
      <c r="J13" s="29">
        <f t="shared" si="8"/>
      </c>
      <c r="K13" s="30">
        <f t="shared" si="9"/>
      </c>
      <c r="L13" s="30">
        <f t="shared" si="10"/>
      </c>
      <c r="M13" s="30">
        <f t="shared" si="11"/>
      </c>
      <c r="N13" s="30">
        <f t="shared" si="12"/>
      </c>
      <c r="O13" s="29">
        <f t="shared" si="13"/>
      </c>
      <c r="P13" s="29">
        <f t="shared" si="13"/>
      </c>
      <c r="Q13" s="28">
        <f t="shared" si="13"/>
      </c>
      <c r="R13" s="30">
        <f t="shared" si="14"/>
      </c>
      <c r="S13" s="52">
        <f t="shared" si="15"/>
      </c>
    </row>
    <row r="14">
      <c r="A14" s="51">
        <f t="shared" si="16"/>
      </c>
      <c r="B14" s="30">
        <f t="shared" si="0"/>
      </c>
      <c r="C14" s="30">
        <f t="shared" si="1"/>
      </c>
      <c r="D14" s="29">
        <f t="shared" si="2"/>
      </c>
      <c r="E14" s="30">
        <f t="shared" si="3"/>
      </c>
      <c r="F14" s="28">
        <f t="shared" si="4"/>
      </c>
      <c r="G14" s="29">
        <f t="shared" si="5"/>
      </c>
      <c r="H14" s="30">
        <f t="shared" si="6"/>
      </c>
      <c r="I14" s="28">
        <f t="shared" si="7"/>
      </c>
      <c r="J14" s="29">
        <f t="shared" si="8"/>
      </c>
      <c r="K14" s="30">
        <f t="shared" si="9"/>
      </c>
      <c r="L14" s="30">
        <f t="shared" si="10"/>
      </c>
      <c r="M14" s="30">
        <f t="shared" si="11"/>
      </c>
      <c r="N14" s="30">
        <f t="shared" si="12"/>
      </c>
      <c r="O14" s="29">
        <f t="shared" si="13"/>
      </c>
      <c r="P14" s="29">
        <f t="shared" si="13"/>
      </c>
      <c r="Q14" s="28">
        <f t="shared" si="13"/>
      </c>
      <c r="R14" s="30">
        <f t="shared" si="14"/>
      </c>
      <c r="S14" s="52">
        <f t="shared" si="15"/>
      </c>
    </row>
    <row r="15">
      <c r="A15" s="51">
        <f t="shared" si="16"/>
      </c>
      <c r="B15" s="30">
        <f t="shared" si="0"/>
      </c>
      <c r="C15" s="30">
        <f t="shared" si="1"/>
      </c>
      <c r="D15" s="29">
        <f t="shared" si="2"/>
      </c>
      <c r="E15" s="30">
        <f t="shared" si="3"/>
      </c>
      <c r="F15" s="28">
        <f t="shared" si="4"/>
      </c>
      <c r="G15" s="29">
        <f t="shared" si="5"/>
      </c>
      <c r="H15" s="30">
        <f t="shared" si="6"/>
      </c>
      <c r="I15" s="28">
        <f t="shared" si="7"/>
      </c>
      <c r="J15" s="29">
        <f t="shared" si="8"/>
      </c>
      <c r="K15" s="30">
        <f t="shared" si="9"/>
      </c>
      <c r="L15" s="30">
        <f t="shared" si="10"/>
      </c>
      <c r="M15" s="30">
        <f t="shared" si="11"/>
      </c>
      <c r="N15" s="30">
        <f t="shared" si="12"/>
      </c>
      <c r="O15" s="29">
        <f t="shared" si="13"/>
      </c>
      <c r="P15" s="29">
        <f t="shared" si="13"/>
      </c>
      <c r="Q15" s="28">
        <f t="shared" si="13"/>
      </c>
      <c r="R15" s="30">
        <f t="shared" si="14"/>
      </c>
      <c r="S15" s="52">
        <f t="shared" si="15"/>
      </c>
    </row>
    <row r="16">
      <c r="A16" s="51">
        <f t="shared" si="16"/>
      </c>
      <c r="B16" s="30">
        <f t="shared" si="0"/>
      </c>
      <c r="C16" s="30">
        <f t="shared" si="1"/>
      </c>
      <c r="D16" s="29">
        <f t="shared" si="2"/>
      </c>
      <c r="E16" s="30">
        <f t="shared" si="3"/>
      </c>
      <c r="F16" s="28">
        <f t="shared" si="4"/>
      </c>
      <c r="G16" s="29">
        <f t="shared" si="5"/>
      </c>
      <c r="H16" s="30">
        <f t="shared" si="6"/>
      </c>
      <c r="I16" s="28">
        <f t="shared" si="7"/>
      </c>
      <c r="J16" s="29">
        <f t="shared" si="8"/>
      </c>
      <c r="K16" s="30">
        <f t="shared" si="9"/>
      </c>
      <c r="L16" s="30">
        <f t="shared" si="10"/>
      </c>
      <c r="M16" s="30">
        <f t="shared" si="11"/>
      </c>
      <c r="N16" s="30">
        <f t="shared" si="12"/>
      </c>
      <c r="O16" s="29">
        <f t="shared" si="13"/>
      </c>
      <c r="P16" s="29">
        <f t="shared" si="13"/>
      </c>
      <c r="Q16" s="28">
        <f t="shared" si="13"/>
      </c>
      <c r="R16" s="30">
        <f t="shared" si="14"/>
      </c>
      <c r="S16" s="52">
        <f t="shared" si="15"/>
      </c>
    </row>
    <row r="17">
      <c r="A17" s="51">
        <f t="shared" si="16"/>
      </c>
      <c r="B17" s="30">
        <f t="shared" si="0"/>
      </c>
      <c r="C17" s="30">
        <f t="shared" si="1"/>
      </c>
      <c r="D17" s="29">
        <f t="shared" si="2"/>
      </c>
      <c r="E17" s="30">
        <f t="shared" si="3"/>
      </c>
      <c r="F17" s="28">
        <f t="shared" si="4"/>
      </c>
      <c r="G17" s="29">
        <f t="shared" si="5"/>
      </c>
      <c r="H17" s="30">
        <f t="shared" si="6"/>
      </c>
      <c r="I17" s="28">
        <f t="shared" si="7"/>
      </c>
      <c r="J17" s="29">
        <f t="shared" si="8"/>
      </c>
      <c r="K17" s="30">
        <f t="shared" si="9"/>
      </c>
      <c r="L17" s="30">
        <f t="shared" si="10"/>
      </c>
      <c r="M17" s="30">
        <f t="shared" si="11"/>
      </c>
      <c r="N17" s="30">
        <f t="shared" si="12"/>
      </c>
      <c r="O17" s="29">
        <f t="shared" si="13"/>
      </c>
      <c r="P17" s="29">
        <f t="shared" si="13"/>
      </c>
      <c r="Q17" s="28">
        <f t="shared" si="13"/>
      </c>
      <c r="R17" s="30">
        <f t="shared" si="14"/>
      </c>
      <c r="S17" s="52">
        <f t="shared" si="15"/>
      </c>
    </row>
    <row r="18">
      <c r="A18" s="51">
        <f t="shared" si="16"/>
      </c>
      <c r="B18" s="30">
        <f t="shared" si="0"/>
      </c>
      <c r="C18" s="30">
        <f t="shared" si="1"/>
      </c>
      <c r="D18" s="29">
        <f t="shared" si="2"/>
      </c>
      <c r="E18" s="30">
        <f t="shared" si="3"/>
      </c>
      <c r="F18" s="28">
        <f t="shared" si="4"/>
      </c>
      <c r="G18" s="29">
        <f t="shared" si="5"/>
      </c>
      <c r="H18" s="30">
        <f t="shared" si="6"/>
      </c>
      <c r="I18" s="28">
        <f t="shared" si="7"/>
      </c>
      <c r="J18" s="29">
        <f t="shared" si="8"/>
      </c>
      <c r="K18" s="30">
        <f t="shared" si="9"/>
      </c>
      <c r="L18" s="30">
        <f t="shared" si="10"/>
      </c>
      <c r="M18" s="30">
        <f t="shared" si="11"/>
      </c>
      <c r="N18" s="30">
        <f t="shared" si="12"/>
      </c>
      <c r="O18" s="29">
        <f t="shared" si="13"/>
      </c>
      <c r="P18" s="29">
        <f t="shared" si="13"/>
      </c>
      <c r="Q18" s="28">
        <f t="shared" si="13"/>
      </c>
      <c r="R18" s="30">
        <f t="shared" si="14"/>
      </c>
      <c r="S18" s="52">
        <f t="shared" si="15"/>
      </c>
    </row>
    <row r="19">
      <c r="A19" s="51">
        <f t="shared" si="16"/>
      </c>
      <c r="B19" s="30">
        <f t="shared" si="0"/>
      </c>
      <c r="C19" s="30">
        <f t="shared" si="1"/>
      </c>
      <c r="D19" s="29">
        <f t="shared" si="2"/>
      </c>
      <c r="E19" s="30">
        <f t="shared" si="3"/>
      </c>
      <c r="F19" s="28">
        <f t="shared" si="4"/>
      </c>
      <c r="G19" s="29">
        <f t="shared" si="5"/>
      </c>
      <c r="H19" s="30">
        <f t="shared" si="6"/>
      </c>
      <c r="I19" s="28">
        <f t="shared" si="7"/>
      </c>
      <c r="J19" s="29">
        <f t="shared" si="8"/>
      </c>
      <c r="K19" s="30">
        <f t="shared" si="9"/>
      </c>
      <c r="L19" s="30">
        <f t="shared" si="10"/>
      </c>
      <c r="M19" s="30">
        <f t="shared" si="11"/>
      </c>
      <c r="N19" s="30">
        <f t="shared" si="12"/>
      </c>
      <c r="O19" s="29">
        <f t="shared" si="13"/>
      </c>
      <c r="P19" s="29">
        <f t="shared" si="13"/>
      </c>
      <c r="Q19" s="28">
        <f t="shared" si="13"/>
      </c>
      <c r="R19" s="30">
        <f t="shared" si="14"/>
      </c>
      <c r="S19" s="52">
        <f t="shared" si="15"/>
      </c>
    </row>
    <row r="20">
      <c r="A20" s="53" t="s">
        <v>378</v>
      </c>
      <c r="B20" s="54">
        <f t="shared" ref="B20:C20" si="17">SUM(B8:B19)</f>
      </c>
      <c r="C20" s="54">
        <f t="shared" si="17"/>
      </c>
      <c r="D20" s="55">
        <f t="shared" si="2"/>
      </c>
      <c r="E20" s="54">
        <f t="shared" ref="E20:F20" si="18">SUM(E8:E19)</f>
      </c>
      <c r="F20" s="54">
        <f t="shared" si="18"/>
      </c>
      <c r="G20" s="55">
        <f t="shared" si="5"/>
      </c>
      <c r="H20" s="54">
        <f t="shared" ref="H20:I20" si="19">SUM(H8:H19)</f>
      </c>
      <c r="I20" s="54">
        <f t="shared" si="19"/>
      </c>
      <c r="J20" s="55">
        <f t="shared" si="8"/>
      </c>
      <c r="K20" s="54">
        <f t="shared" ref="K20:N20" si="20">SUM(K8:K19)</f>
      </c>
      <c r="L20" s="54">
        <f t="shared" si="20"/>
      </c>
      <c r="M20" s="54">
        <f t="shared" si="20"/>
      </c>
      <c r="N20" s="54">
        <f t="shared" si="20"/>
      </c>
      <c r="O20" s="55">
        <f t="shared" si="13"/>
      </c>
      <c r="P20" s="55">
        <f t="shared" si="13"/>
      </c>
      <c r="Q20" s="54">
        <f t="shared" si="13"/>
      </c>
      <c r="R20" s="54">
        <f>SUM(R8:R19)</f>
      </c>
      <c r="S20" s="55">
        <f>IF(R20=0,0,SUMPRODUCT(S8:S19,R8:R19)/R20)</f>
      </c>
    </row>
    <row r="22" ht="20" customHeight="1">
      <c r="A22" s="3" t="s">
        <v>379</v>
      </c>
    </row>
    <row r="23">
      <c r="A23" s="11" t="s">
        <v>231</v>
      </c>
      <c r="B23" s="11" t="s">
        <v>213</v>
      </c>
      <c r="C23" s="56">
        <f>DATE(YEAR($B$5),MONTH($B$5),1)</f>
      </c>
      <c r="D23" s="56">
        <f t="shared" ref="D23:N23" si="21">EDATE(C23,1)</f>
      </c>
      <c r="E23" s="56">
        <f t="shared" si="21"/>
      </c>
      <c r="F23" s="56">
        <f t="shared" si="21"/>
      </c>
      <c r="G23" s="56">
        <f t="shared" si="21"/>
      </c>
      <c r="H23" s="56">
        <f t="shared" si="21"/>
      </c>
      <c r="I23" s="56">
        <f t="shared" si="21"/>
      </c>
      <c r="J23" s="56">
        <f t="shared" si="21"/>
      </c>
      <c r="K23" s="56">
        <f t="shared" si="21"/>
      </c>
      <c r="L23" s="56">
        <f t="shared" si="21"/>
      </c>
      <c r="M23" s="56">
        <f t="shared" si="21"/>
      </c>
      <c r="N23" s="56">
        <f t="shared" si="21"/>
      </c>
    </row>
    <row r="24">
      <c r="A24" s="8" t="n"/>
      <c r="B24" s="57" t="s">
        <v>380</v>
      </c>
      <c r="C24" s="58">
        <f t="shared" ref="C24:N24" si="22">COUNTIFS('日次ログ'!$A:$A,"&gt;="&amp;C$23,'日次ログ'!$A:$A,"&lt;="&amp;EOMONTH(C$23,0))</f>
      </c>
      <c r="D24" s="58">
        <f t="shared" si="22"/>
      </c>
      <c r="E24" s="58">
        <f t="shared" si="22"/>
      </c>
      <c r="F24" s="58">
        <f t="shared" si="22"/>
      </c>
      <c r="G24" s="58">
        <f t="shared" si="22"/>
      </c>
      <c r="H24" s="58">
        <f t="shared" si="22"/>
      </c>
      <c r="I24" s="58">
        <f t="shared" si="22"/>
      </c>
      <c r="J24" s="58">
        <f t="shared" si="22"/>
      </c>
      <c r="K24" s="58">
        <f t="shared" si="22"/>
      </c>
      <c r="L24" s="58">
        <f t="shared" si="22"/>
      </c>
      <c r="M24" s="58">
        <f t="shared" si="22"/>
      </c>
      <c r="N24" s="58">
        <f t="shared" si="22"/>
      </c>
    </row>
    <row r="25">
      <c r="A25" s="17" t="n">
        <v>1</v>
      </c>
      <c r="B25" s="9">
        <f t="shared" ref="B25:B40" si="23">'毎日やること'!C5&amp;""</f>
      </c>
      <c r="C25" s="59">
        <f t="shared" ref="C25:N40" si="24">IF(C$24=0,"",COUNTIFS('日次ログ'!$A:$A,"&gt;="&amp;C$23,'日次ログ'!$A:$A,"&lt;="&amp;EOMONTH(C$23,0),INDEX('日次ログ'!$Z:$AO,0,$A25),"○")/C$24)</f>
      </c>
      <c r="D25" s="59">
        <f t="shared" si="24"/>
      </c>
      <c r="E25" s="59">
        <f t="shared" si="24"/>
      </c>
      <c r="F25" s="59">
        <f t="shared" si="24"/>
      </c>
      <c r="G25" s="59">
        <f t="shared" si="24"/>
      </c>
      <c r="H25" s="59">
        <f t="shared" si="24"/>
      </c>
      <c r="I25" s="59">
        <f t="shared" si="24"/>
      </c>
      <c r="J25" s="59">
        <f t="shared" si="24"/>
      </c>
      <c r="K25" s="59">
        <f t="shared" si="24"/>
      </c>
      <c r="L25" s="59">
        <f t="shared" si="24"/>
      </c>
      <c r="M25" s="59">
        <f t="shared" si="24"/>
      </c>
      <c r="N25" s="59">
        <f t="shared" si="24"/>
      </c>
    </row>
    <row r="26">
      <c r="A26" s="17" t="n">
        <v>2</v>
      </c>
      <c r="B26" s="9">
        <f t="shared" si="23"/>
      </c>
      <c r="C26" s="59">
        <f t="shared" si="24"/>
      </c>
      <c r="D26" s="59">
        <f t="shared" si="24"/>
      </c>
      <c r="E26" s="59">
        <f t="shared" si="24"/>
      </c>
      <c r="F26" s="59">
        <f t="shared" si="24"/>
      </c>
      <c r="G26" s="59">
        <f t="shared" si="24"/>
      </c>
      <c r="H26" s="59">
        <f t="shared" si="24"/>
      </c>
      <c r="I26" s="59">
        <f t="shared" si="24"/>
      </c>
      <c r="J26" s="59">
        <f t="shared" si="24"/>
      </c>
      <c r="K26" s="59">
        <f t="shared" si="24"/>
      </c>
      <c r="L26" s="59">
        <f t="shared" si="24"/>
      </c>
      <c r="M26" s="59">
        <f t="shared" si="24"/>
      </c>
      <c r="N26" s="59">
        <f t="shared" si="24"/>
      </c>
    </row>
    <row r="27">
      <c r="A27" s="17" t="n">
        <v>3</v>
      </c>
      <c r="B27" s="9">
        <f t="shared" si="23"/>
      </c>
      <c r="C27" s="59">
        <f t="shared" si="24"/>
      </c>
      <c r="D27" s="59">
        <f t="shared" si="24"/>
      </c>
      <c r="E27" s="59">
        <f t="shared" si="24"/>
      </c>
      <c r="F27" s="59">
        <f t="shared" si="24"/>
      </c>
      <c r="G27" s="59">
        <f t="shared" si="24"/>
      </c>
      <c r="H27" s="59">
        <f t="shared" si="24"/>
      </c>
      <c r="I27" s="59">
        <f t="shared" si="24"/>
      </c>
      <c r="J27" s="59">
        <f t="shared" si="24"/>
      </c>
      <c r="K27" s="59">
        <f t="shared" si="24"/>
      </c>
      <c r="L27" s="59">
        <f t="shared" si="24"/>
      </c>
      <c r="M27" s="59">
        <f t="shared" si="24"/>
      </c>
      <c r="N27" s="59">
        <f t="shared" si="24"/>
      </c>
    </row>
    <row r="28">
      <c r="A28" s="17" t="n">
        <v>4</v>
      </c>
      <c r="B28" s="9">
        <f t="shared" si="23"/>
      </c>
      <c r="C28" s="59">
        <f t="shared" si="24"/>
      </c>
      <c r="D28" s="59">
        <f t="shared" si="24"/>
      </c>
      <c r="E28" s="59">
        <f t="shared" si="24"/>
      </c>
      <c r="F28" s="59">
        <f t="shared" si="24"/>
      </c>
      <c r="G28" s="59">
        <f t="shared" si="24"/>
      </c>
      <c r="H28" s="59">
        <f t="shared" si="24"/>
      </c>
      <c r="I28" s="59">
        <f t="shared" si="24"/>
      </c>
      <c r="J28" s="59">
        <f t="shared" si="24"/>
      </c>
      <c r="K28" s="59">
        <f t="shared" si="24"/>
      </c>
      <c r="L28" s="59">
        <f t="shared" si="24"/>
      </c>
      <c r="M28" s="59">
        <f t="shared" si="24"/>
      </c>
      <c r="N28" s="59">
        <f t="shared" si="24"/>
      </c>
    </row>
    <row r="29">
      <c r="A29" s="17" t="n">
        <v>5</v>
      </c>
      <c r="B29" s="9">
        <f t="shared" si="23"/>
      </c>
      <c r="C29" s="59">
        <f t="shared" si="24"/>
      </c>
      <c r="D29" s="59">
        <f t="shared" si="24"/>
      </c>
      <c r="E29" s="59">
        <f t="shared" si="24"/>
      </c>
      <c r="F29" s="59">
        <f t="shared" si="24"/>
      </c>
      <c r="G29" s="59">
        <f t="shared" si="24"/>
      </c>
      <c r="H29" s="59">
        <f t="shared" si="24"/>
      </c>
      <c r="I29" s="59">
        <f t="shared" si="24"/>
      </c>
      <c r="J29" s="59">
        <f t="shared" si="24"/>
      </c>
      <c r="K29" s="59">
        <f t="shared" si="24"/>
      </c>
      <c r="L29" s="59">
        <f t="shared" si="24"/>
      </c>
      <c r="M29" s="59">
        <f t="shared" si="24"/>
      </c>
      <c r="N29" s="59">
        <f t="shared" si="24"/>
      </c>
    </row>
    <row r="30">
      <c r="A30" s="17" t="n">
        <v>6</v>
      </c>
      <c r="B30" s="9">
        <f t="shared" si="23"/>
      </c>
      <c r="C30" s="59">
        <f t="shared" si="24"/>
      </c>
      <c r="D30" s="59">
        <f t="shared" si="24"/>
      </c>
      <c r="E30" s="59">
        <f t="shared" si="24"/>
      </c>
      <c r="F30" s="59">
        <f t="shared" si="24"/>
      </c>
      <c r="G30" s="59">
        <f t="shared" si="24"/>
      </c>
      <c r="H30" s="59">
        <f t="shared" si="24"/>
      </c>
      <c r="I30" s="59">
        <f t="shared" si="24"/>
      </c>
      <c r="J30" s="59">
        <f t="shared" si="24"/>
      </c>
      <c r="K30" s="59">
        <f t="shared" si="24"/>
      </c>
      <c r="L30" s="59">
        <f t="shared" si="24"/>
      </c>
      <c r="M30" s="59">
        <f t="shared" si="24"/>
      </c>
      <c r="N30" s="59">
        <f t="shared" si="24"/>
      </c>
    </row>
    <row r="31">
      <c r="A31" s="17" t="n">
        <v>7</v>
      </c>
      <c r="B31" s="9">
        <f t="shared" si="23"/>
      </c>
      <c r="C31" s="59">
        <f t="shared" si="24"/>
      </c>
      <c r="D31" s="59">
        <f t="shared" si="24"/>
      </c>
      <c r="E31" s="59">
        <f t="shared" si="24"/>
      </c>
      <c r="F31" s="59">
        <f t="shared" si="24"/>
      </c>
      <c r="G31" s="59">
        <f t="shared" si="24"/>
      </c>
      <c r="H31" s="59">
        <f t="shared" si="24"/>
      </c>
      <c r="I31" s="59">
        <f t="shared" si="24"/>
      </c>
      <c r="J31" s="59">
        <f t="shared" si="24"/>
      </c>
      <c r="K31" s="59">
        <f t="shared" si="24"/>
      </c>
      <c r="L31" s="59">
        <f t="shared" si="24"/>
      </c>
      <c r="M31" s="59">
        <f t="shared" si="24"/>
      </c>
      <c r="N31" s="59">
        <f t="shared" si="24"/>
      </c>
    </row>
    <row r="32">
      <c r="A32" s="17" t="n">
        <v>8</v>
      </c>
      <c r="B32" s="9">
        <f t="shared" si="23"/>
      </c>
      <c r="C32" s="59">
        <f t="shared" si="24"/>
      </c>
      <c r="D32" s="59">
        <f t="shared" si="24"/>
      </c>
      <c r="E32" s="59">
        <f t="shared" si="24"/>
      </c>
      <c r="F32" s="59">
        <f t="shared" si="24"/>
      </c>
      <c r="G32" s="59">
        <f t="shared" si="24"/>
      </c>
      <c r="H32" s="59">
        <f t="shared" si="24"/>
      </c>
      <c r="I32" s="59">
        <f t="shared" si="24"/>
      </c>
      <c r="J32" s="59">
        <f t="shared" si="24"/>
      </c>
      <c r="K32" s="59">
        <f t="shared" si="24"/>
      </c>
      <c r="L32" s="59">
        <f t="shared" si="24"/>
      </c>
      <c r="M32" s="59">
        <f t="shared" si="24"/>
      </c>
      <c r="N32" s="59">
        <f t="shared" si="24"/>
      </c>
    </row>
    <row r="33">
      <c r="A33" s="17" t="n">
        <v>9</v>
      </c>
      <c r="B33" s="9">
        <f t="shared" si="23"/>
      </c>
      <c r="C33" s="59">
        <f t="shared" si="24"/>
      </c>
      <c r="D33" s="59">
        <f t="shared" si="24"/>
      </c>
      <c r="E33" s="59">
        <f t="shared" si="24"/>
      </c>
      <c r="F33" s="59">
        <f t="shared" si="24"/>
      </c>
      <c r="G33" s="59">
        <f t="shared" si="24"/>
      </c>
      <c r="H33" s="59">
        <f t="shared" si="24"/>
      </c>
      <c r="I33" s="59">
        <f t="shared" si="24"/>
      </c>
      <c r="J33" s="59">
        <f t="shared" si="24"/>
      </c>
      <c r="K33" s="59">
        <f t="shared" si="24"/>
      </c>
      <c r="L33" s="59">
        <f t="shared" si="24"/>
      </c>
      <c r="M33" s="59">
        <f t="shared" si="24"/>
      </c>
      <c r="N33" s="59">
        <f t="shared" si="24"/>
      </c>
    </row>
    <row r="34">
      <c r="A34" s="17" t="n">
        <v>10</v>
      </c>
      <c r="B34" s="9">
        <f t="shared" si="23"/>
      </c>
      <c r="C34" s="59">
        <f t="shared" si="24"/>
      </c>
      <c r="D34" s="59">
        <f t="shared" si="24"/>
      </c>
      <c r="E34" s="59">
        <f t="shared" si="24"/>
      </c>
      <c r="F34" s="59">
        <f t="shared" si="24"/>
      </c>
      <c r="G34" s="59">
        <f t="shared" si="24"/>
      </c>
      <c r="H34" s="59">
        <f t="shared" si="24"/>
      </c>
      <c r="I34" s="59">
        <f t="shared" si="24"/>
      </c>
      <c r="J34" s="59">
        <f t="shared" si="24"/>
      </c>
      <c r="K34" s="59">
        <f t="shared" si="24"/>
      </c>
      <c r="L34" s="59">
        <f t="shared" si="24"/>
      </c>
      <c r="M34" s="59">
        <f t="shared" si="24"/>
      </c>
      <c r="N34" s="59">
        <f t="shared" si="24"/>
      </c>
    </row>
    <row r="35">
      <c r="A35" s="17" t="n">
        <v>11</v>
      </c>
      <c r="B35" s="9">
        <f t="shared" si="23"/>
      </c>
      <c r="C35" s="59">
        <f t="shared" si="24"/>
      </c>
      <c r="D35" s="59">
        <f t="shared" si="24"/>
      </c>
      <c r="E35" s="59">
        <f t="shared" si="24"/>
      </c>
      <c r="F35" s="59">
        <f t="shared" si="24"/>
      </c>
      <c r="G35" s="59">
        <f t="shared" si="24"/>
      </c>
      <c r="H35" s="59">
        <f t="shared" si="24"/>
      </c>
      <c r="I35" s="59">
        <f t="shared" si="24"/>
      </c>
      <c r="J35" s="59">
        <f t="shared" si="24"/>
      </c>
      <c r="K35" s="59">
        <f t="shared" si="24"/>
      </c>
      <c r="L35" s="59">
        <f t="shared" si="24"/>
      </c>
      <c r="M35" s="59">
        <f t="shared" si="24"/>
      </c>
      <c r="N35" s="59">
        <f t="shared" si="24"/>
      </c>
    </row>
    <row r="36">
      <c r="A36" s="17" t="n">
        <v>12</v>
      </c>
      <c r="B36" s="9">
        <f t="shared" si="23"/>
      </c>
      <c r="C36" s="59">
        <f t="shared" si="24"/>
      </c>
      <c r="D36" s="59">
        <f t="shared" si="24"/>
      </c>
      <c r="E36" s="59">
        <f t="shared" si="24"/>
      </c>
      <c r="F36" s="59">
        <f t="shared" si="24"/>
      </c>
      <c r="G36" s="59">
        <f t="shared" si="24"/>
      </c>
      <c r="H36" s="59">
        <f t="shared" si="24"/>
      </c>
      <c r="I36" s="59">
        <f t="shared" si="24"/>
      </c>
      <c r="J36" s="59">
        <f t="shared" si="24"/>
      </c>
      <c r="K36" s="59">
        <f t="shared" si="24"/>
      </c>
      <c r="L36" s="59">
        <f t="shared" si="24"/>
      </c>
      <c r="M36" s="59">
        <f t="shared" si="24"/>
      </c>
      <c r="N36" s="59">
        <f t="shared" si="24"/>
      </c>
    </row>
    <row r="37">
      <c r="A37" s="17" t="n">
        <v>13</v>
      </c>
      <c r="B37" s="9">
        <f t="shared" si="23"/>
      </c>
      <c r="C37" s="59">
        <f t="shared" si="24"/>
      </c>
      <c r="D37" s="59">
        <f t="shared" si="24"/>
      </c>
      <c r="E37" s="59">
        <f t="shared" si="24"/>
      </c>
      <c r="F37" s="59">
        <f t="shared" si="24"/>
      </c>
      <c r="G37" s="59">
        <f t="shared" si="24"/>
      </c>
      <c r="H37" s="59">
        <f t="shared" si="24"/>
      </c>
      <c r="I37" s="59">
        <f t="shared" si="24"/>
      </c>
      <c r="J37" s="59">
        <f t="shared" si="24"/>
      </c>
      <c r="K37" s="59">
        <f t="shared" si="24"/>
      </c>
      <c r="L37" s="59">
        <f t="shared" si="24"/>
      </c>
      <c r="M37" s="59">
        <f t="shared" si="24"/>
      </c>
      <c r="N37" s="59">
        <f t="shared" si="24"/>
      </c>
    </row>
    <row r="38">
      <c r="A38" s="17" t="n">
        <v>14</v>
      </c>
      <c r="B38" s="9">
        <f t="shared" si="23"/>
      </c>
      <c r="C38" s="59">
        <f t="shared" si="24"/>
      </c>
      <c r="D38" s="59">
        <f t="shared" si="24"/>
      </c>
      <c r="E38" s="59">
        <f t="shared" si="24"/>
      </c>
      <c r="F38" s="59">
        <f t="shared" si="24"/>
      </c>
      <c r="G38" s="59">
        <f t="shared" si="24"/>
      </c>
      <c r="H38" s="59">
        <f t="shared" si="24"/>
      </c>
      <c r="I38" s="59">
        <f t="shared" si="24"/>
      </c>
      <c r="J38" s="59">
        <f t="shared" si="24"/>
      </c>
      <c r="K38" s="59">
        <f t="shared" si="24"/>
      </c>
      <c r="L38" s="59">
        <f t="shared" si="24"/>
      </c>
      <c r="M38" s="59">
        <f t="shared" si="24"/>
      </c>
      <c r="N38" s="59">
        <f t="shared" si="24"/>
      </c>
    </row>
    <row r="39">
      <c r="A39" s="17" t="n">
        <v>15</v>
      </c>
      <c r="B39" s="9">
        <f t="shared" si="23"/>
      </c>
      <c r="C39" s="59">
        <f t="shared" si="24"/>
      </c>
      <c r="D39" s="59">
        <f t="shared" si="24"/>
      </c>
      <c r="E39" s="59">
        <f t="shared" si="24"/>
      </c>
      <c r="F39" s="59">
        <f t="shared" si="24"/>
      </c>
      <c r="G39" s="59">
        <f t="shared" si="24"/>
      </c>
      <c r="H39" s="59">
        <f t="shared" si="24"/>
      </c>
      <c r="I39" s="59">
        <f t="shared" si="24"/>
      </c>
      <c r="J39" s="59">
        <f t="shared" si="24"/>
      </c>
      <c r="K39" s="59">
        <f t="shared" si="24"/>
      </c>
      <c r="L39" s="59">
        <f t="shared" si="24"/>
      </c>
      <c r="M39" s="59">
        <f t="shared" si="24"/>
      </c>
      <c r="N39" s="59">
        <f t="shared" si="24"/>
      </c>
    </row>
    <row r="40">
      <c r="A40" s="17" t="n">
        <v>16</v>
      </c>
      <c r="B40" s="9">
        <f t="shared" si="23"/>
      </c>
      <c r="C40" s="59">
        <f t="shared" si="24"/>
      </c>
      <c r="D40" s="59">
        <f t="shared" si="24"/>
      </c>
      <c r="E40" s="59">
        <f t="shared" si="24"/>
      </c>
      <c r="F40" s="59">
        <f t="shared" si="24"/>
      </c>
      <c r="G40" s="59">
        <f t="shared" si="24"/>
      </c>
      <c r="H40" s="59">
        <f t="shared" si="24"/>
      </c>
      <c r="I40" s="59">
        <f t="shared" si="24"/>
      </c>
      <c r="J40" s="59">
        <f t="shared" si="24"/>
      </c>
      <c r="K40" s="59">
        <f t="shared" si="24"/>
      </c>
      <c r="L40" s="59">
        <f t="shared" si="24"/>
      </c>
      <c r="M40" s="59">
        <f t="shared" si="24"/>
      </c>
      <c r="N40" s="59">
        <f t="shared" si="24"/>
      </c>
    </row>
  </sheetData>
  <mergeCells count="3">
    <mergeCell ref="A2:S2"/>
    <mergeCell ref="A22:N22"/>
    <mergeCell ref="A1:S1"/>
  </mergeCells>
  <conditionalFormatting sqref="D8:D20">
    <cfRule type="cellIs" priority="1" operator="greaterThanOrEqual" dxfId="1">
      <formula>1</formula>
    </cfRule>
  </conditionalFormatting>
  <conditionalFormatting sqref="I8:I20">
    <cfRule type="cellIs" priority="2" operator="lessThan" dxfId="4">
      <formula>0</formula>
    </cfRule>
  </conditionalFormatting>
  <conditionalFormatting sqref="C25:N40">
    <cfRule type="colorScale" priority="3">
      <colorScale>
        <cfvo type="num" val="0"/>
        <cfvo type="num" val="0.5"/>
        <cfvo type="num" val="1"/>
        <color rgb="00F4CCCC"/>
        <color rgb="00FFF2CC"/>
        <color rgb="00B7E1CD"/>
      </colorScale>
    </cfRule>
  </conditionalFormatting>
  <dataValidations count="1">
    <dataValidation sqref="B4" showDropDown="0" showInputMessage="0" showErrorMessage="0" allowBlank="1" errorTitle="入力エラー" error="リストから選んでください" type="list">
      <formula1>"1,2,3,4,5,6,7,8,9,10"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0" customWidth="1" min="5" max="5"/>
    <col width="11" customWidth="1" min="6" max="6"/>
    <col width="10" customWidth="1" min="7" max="7"/>
    <col width="9" customWidth="1" min="8" max="8"/>
    <col width="11" customWidth="1" min="9" max="9"/>
    <col width="11" customWidth="1" min="10" max="10"/>
    <col width="13" customWidth="1" min="11" max="11"/>
    <col width="12" customWidth="1" min="12" max="12"/>
    <col width="12" customWidth="1" min="13" max="13"/>
    <col width="60" customWidth="1" min="14" max="14"/>
  </cols>
  <sheetData>
    <row r="1">
      <c r="A1" s="1" t="s">
        <v>381</v>
      </c>
    </row>
    <row r="2" ht="18" customHeight="1">
      <c r="A2" s="2" t="s">
        <v>382</v>
      </c>
    </row>
    <row r="4">
      <c r="A4" s="8" t="s">
        <v>82</v>
      </c>
      <c r="B4" s="33">
        <f>'設定'!$B$6</f>
      </c>
      <c r="C4" s="17" t="s">
        <v>83</v>
      </c>
    </row>
    <row r="5">
      <c r="A5" s="8" t="s">
        <v>88</v>
      </c>
      <c r="B5" s="33">
        <f>'設定'!$B$7</f>
      </c>
      <c r="C5" s="17" t="s">
        <v>83</v>
      </c>
    </row>
    <row r="6">
      <c r="A6" s="12" t="s">
        <v>383</v>
      </c>
      <c r="B6" s="60">
        <f>IF(B4&lt;=0,0,(B5/B4)^(1/9)-1)</f>
      </c>
      <c r="C6" s="17" t="s">
        <v>100</v>
      </c>
      <c r="D6" s="2" t="s">
        <v>384</v>
      </c>
    </row>
    <row r="7">
      <c r="A7" s="8" t="s">
        <v>385</v>
      </c>
      <c r="B7" s="61">
        <f>B5/365</f>
      </c>
      <c r="C7" s="17" t="s">
        <v>83</v>
      </c>
    </row>
    <row r="9" ht="45" customHeight="1">
      <c r="A9" s="11" t="s">
        <v>386</v>
      </c>
      <c r="B9" s="11" t="s">
        <v>387</v>
      </c>
      <c r="C9" s="11" t="s">
        <v>388</v>
      </c>
      <c r="D9" s="11" t="s">
        <v>389</v>
      </c>
      <c r="E9" s="11" t="s">
        <v>390</v>
      </c>
      <c r="F9" s="11" t="s">
        <v>391</v>
      </c>
      <c r="G9" s="11" t="s">
        <v>392</v>
      </c>
      <c r="H9" s="11" t="s">
        <v>161</v>
      </c>
      <c r="I9" s="11" t="s">
        <v>393</v>
      </c>
      <c r="J9" s="11" t="s">
        <v>394</v>
      </c>
      <c r="K9" s="11" t="s">
        <v>395</v>
      </c>
      <c r="L9" s="11" t="s">
        <v>396</v>
      </c>
      <c r="M9" s="11" t="s">
        <v>397</v>
      </c>
      <c r="N9" s="11" t="s">
        <v>398</v>
      </c>
    </row>
    <row r="10" ht="30" customHeight="1">
      <c r="A10" s="62" t="n">
        <v>1</v>
      </c>
      <c r="B10" s="49">
        <f t="shared" ref="B10:B19" si="0">EDATE('設定'!$B$5,12*(A10-1))</f>
      </c>
      <c r="C10" s="49">
        <f t="shared" ref="C10:C19" si="1">EDATE('設定'!$B$5,12*A10)-1</f>
      </c>
      <c r="D10" s="63">
        <f t="shared" ref="D10:D19" si="2">$B$4*(1+$B$6)^(A10-1)</f>
      </c>
      <c r="E10" s="61">
        <f t="shared" ref="E10:E19" si="3">D10/12</f>
      </c>
      <c r="F10" s="28">
        <f t="shared" ref="F10:F19" si="4">D10*10^4/365</f>
      </c>
      <c r="G10" s="64">
        <f t="shared" ref="G10:G19" si="5">SUMIFS('日次ログ'!$J:$J,'日次ログ'!$A:$A,"&gt;="&amp;B10,'日次ログ'!$A:$A,"&lt;="&amp;C10)/10^8</f>
      </c>
      <c r="H10" s="29">
        <f t="shared" ref="H10:H19" si="6">IF(D10=0,0,G10/D10)</f>
      </c>
      <c r="I10" s="30">
        <f t="shared" ref="I10:I19" si="7">IF('設定'!$B$8=0,0,D10*10^8/'設定'!$B$8)</f>
      </c>
      <c r="J10" s="30">
        <f t="shared" ref="J10:J19" si="8">IF('設定'!$B$9=0,0,I10/'設定'!$B$9)</f>
      </c>
      <c r="K10" s="30">
        <f t="shared" ref="K10:K19" si="9">IF('設定'!$B$10=0,0,J10/'設定'!$B$10)</f>
      </c>
      <c r="L10" s="63">
        <f t="shared" ref="L10:L19" si="10">K10/365</f>
      </c>
      <c r="M10" s="33">
        <f t="shared" ref="M10:M19" si="11">IF('設定'!$B$11=0,0,L10/'設定'!$B$11)</f>
      </c>
      <c r="N10" s="23" t="s">
        <v>399</v>
      </c>
    </row>
    <row r="11" ht="30" customHeight="1">
      <c r="A11" s="62" t="n">
        <v>2</v>
      </c>
      <c r="B11" s="49">
        <f t="shared" si="0"/>
      </c>
      <c r="C11" s="49">
        <f t="shared" si="1"/>
      </c>
      <c r="D11" s="63">
        <f t="shared" si="2"/>
      </c>
      <c r="E11" s="61">
        <f t="shared" si="3"/>
      </c>
      <c r="F11" s="28">
        <f t="shared" si="4"/>
      </c>
      <c r="G11" s="64">
        <f t="shared" si="5"/>
      </c>
      <c r="H11" s="29">
        <f t="shared" si="6"/>
      </c>
      <c r="I11" s="30">
        <f t="shared" si="7"/>
      </c>
      <c r="J11" s="30">
        <f t="shared" si="8"/>
      </c>
      <c r="K11" s="30">
        <f t="shared" si="9"/>
      </c>
      <c r="L11" s="63">
        <f t="shared" si="10"/>
      </c>
      <c r="M11" s="33">
        <f t="shared" si="11"/>
      </c>
      <c r="N11" s="23" t="s">
        <v>400</v>
      </c>
    </row>
    <row r="12" ht="30" customHeight="1">
      <c r="A12" s="62" t="n">
        <v>3</v>
      </c>
      <c r="B12" s="49">
        <f t="shared" si="0"/>
      </c>
      <c r="C12" s="49">
        <f t="shared" si="1"/>
      </c>
      <c r="D12" s="63">
        <f t="shared" si="2"/>
      </c>
      <c r="E12" s="61">
        <f t="shared" si="3"/>
      </c>
      <c r="F12" s="28">
        <f t="shared" si="4"/>
      </c>
      <c r="G12" s="64">
        <f t="shared" si="5"/>
      </c>
      <c r="H12" s="29">
        <f t="shared" si="6"/>
      </c>
      <c r="I12" s="30">
        <f t="shared" si="7"/>
      </c>
      <c r="J12" s="30">
        <f t="shared" si="8"/>
      </c>
      <c r="K12" s="30">
        <f t="shared" si="9"/>
      </c>
      <c r="L12" s="63">
        <f t="shared" si="10"/>
      </c>
      <c r="M12" s="33">
        <f t="shared" si="11"/>
      </c>
      <c r="N12" s="23" t="s">
        <v>401</v>
      </c>
    </row>
    <row r="13" ht="30" customHeight="1">
      <c r="A13" s="62" t="n">
        <v>4</v>
      </c>
      <c r="B13" s="49">
        <f t="shared" si="0"/>
      </c>
      <c r="C13" s="49">
        <f t="shared" si="1"/>
      </c>
      <c r="D13" s="63">
        <f t="shared" si="2"/>
      </c>
      <c r="E13" s="61">
        <f t="shared" si="3"/>
      </c>
      <c r="F13" s="28">
        <f t="shared" si="4"/>
      </c>
      <c r="G13" s="64">
        <f t="shared" si="5"/>
      </c>
      <c r="H13" s="29">
        <f t="shared" si="6"/>
      </c>
      <c r="I13" s="30">
        <f t="shared" si="7"/>
      </c>
      <c r="J13" s="30">
        <f t="shared" si="8"/>
      </c>
      <c r="K13" s="30">
        <f t="shared" si="9"/>
      </c>
      <c r="L13" s="63">
        <f t="shared" si="10"/>
      </c>
      <c r="M13" s="33">
        <f t="shared" si="11"/>
      </c>
      <c r="N13" s="23" t="s">
        <v>402</v>
      </c>
    </row>
    <row r="14" ht="30" customHeight="1">
      <c r="A14" s="62" t="n">
        <v>5</v>
      </c>
      <c r="B14" s="49">
        <f t="shared" si="0"/>
      </c>
      <c r="C14" s="49">
        <f t="shared" si="1"/>
      </c>
      <c r="D14" s="63">
        <f t="shared" si="2"/>
      </c>
      <c r="E14" s="61">
        <f t="shared" si="3"/>
      </c>
      <c r="F14" s="28">
        <f t="shared" si="4"/>
      </c>
      <c r="G14" s="64">
        <f t="shared" si="5"/>
      </c>
      <c r="H14" s="29">
        <f t="shared" si="6"/>
      </c>
      <c r="I14" s="30">
        <f t="shared" si="7"/>
      </c>
      <c r="J14" s="30">
        <f t="shared" si="8"/>
      </c>
      <c r="K14" s="30">
        <f t="shared" si="9"/>
      </c>
      <c r="L14" s="63">
        <f t="shared" si="10"/>
      </c>
      <c r="M14" s="33">
        <f t="shared" si="11"/>
      </c>
      <c r="N14" s="23" t="s">
        <v>403</v>
      </c>
    </row>
    <row r="15" ht="30" customHeight="1">
      <c r="A15" s="62" t="n">
        <v>6</v>
      </c>
      <c r="B15" s="49">
        <f t="shared" si="0"/>
      </c>
      <c r="C15" s="49">
        <f t="shared" si="1"/>
      </c>
      <c r="D15" s="63">
        <f t="shared" si="2"/>
      </c>
      <c r="E15" s="61">
        <f t="shared" si="3"/>
      </c>
      <c r="F15" s="28">
        <f t="shared" si="4"/>
      </c>
      <c r="G15" s="64">
        <f t="shared" si="5"/>
      </c>
      <c r="H15" s="29">
        <f t="shared" si="6"/>
      </c>
      <c r="I15" s="30">
        <f t="shared" si="7"/>
      </c>
      <c r="J15" s="30">
        <f t="shared" si="8"/>
      </c>
      <c r="K15" s="30">
        <f t="shared" si="9"/>
      </c>
      <c r="L15" s="63">
        <f t="shared" si="10"/>
      </c>
      <c r="M15" s="33">
        <f t="shared" si="11"/>
      </c>
      <c r="N15" s="23" t="s">
        <v>404</v>
      </c>
    </row>
    <row r="16" ht="30" customHeight="1">
      <c r="A16" s="62" t="n">
        <v>7</v>
      </c>
      <c r="B16" s="49">
        <f t="shared" si="0"/>
      </c>
      <c r="C16" s="49">
        <f t="shared" si="1"/>
      </c>
      <c r="D16" s="63">
        <f t="shared" si="2"/>
      </c>
      <c r="E16" s="61">
        <f t="shared" si="3"/>
      </c>
      <c r="F16" s="28">
        <f t="shared" si="4"/>
      </c>
      <c r="G16" s="64">
        <f t="shared" si="5"/>
      </c>
      <c r="H16" s="29">
        <f t="shared" si="6"/>
      </c>
      <c r="I16" s="30">
        <f t="shared" si="7"/>
      </c>
      <c r="J16" s="30">
        <f t="shared" si="8"/>
      </c>
      <c r="K16" s="30">
        <f t="shared" si="9"/>
      </c>
      <c r="L16" s="63">
        <f t="shared" si="10"/>
      </c>
      <c r="M16" s="33">
        <f t="shared" si="11"/>
      </c>
      <c r="N16" s="23" t="s">
        <v>405</v>
      </c>
    </row>
    <row r="17" ht="30" customHeight="1">
      <c r="A17" s="62" t="n">
        <v>8</v>
      </c>
      <c r="B17" s="49">
        <f t="shared" si="0"/>
      </c>
      <c r="C17" s="49">
        <f t="shared" si="1"/>
      </c>
      <c r="D17" s="63">
        <f t="shared" si="2"/>
      </c>
      <c r="E17" s="61">
        <f t="shared" si="3"/>
      </c>
      <c r="F17" s="28">
        <f t="shared" si="4"/>
      </c>
      <c r="G17" s="64">
        <f t="shared" si="5"/>
      </c>
      <c r="H17" s="29">
        <f t="shared" si="6"/>
      </c>
      <c r="I17" s="30">
        <f t="shared" si="7"/>
      </c>
      <c r="J17" s="30">
        <f t="shared" si="8"/>
      </c>
      <c r="K17" s="30">
        <f t="shared" si="9"/>
      </c>
      <c r="L17" s="63">
        <f t="shared" si="10"/>
      </c>
      <c r="M17" s="33">
        <f t="shared" si="11"/>
      </c>
      <c r="N17" s="23" t="s">
        <v>406</v>
      </c>
    </row>
    <row r="18" ht="30" customHeight="1">
      <c r="A18" s="62" t="n">
        <v>9</v>
      </c>
      <c r="B18" s="49">
        <f t="shared" si="0"/>
      </c>
      <c r="C18" s="49">
        <f t="shared" si="1"/>
      </c>
      <c r="D18" s="63">
        <f t="shared" si="2"/>
      </c>
      <c r="E18" s="61">
        <f t="shared" si="3"/>
      </c>
      <c r="F18" s="28">
        <f t="shared" si="4"/>
      </c>
      <c r="G18" s="64">
        <f t="shared" si="5"/>
      </c>
      <c r="H18" s="29">
        <f t="shared" si="6"/>
      </c>
      <c r="I18" s="30">
        <f t="shared" si="7"/>
      </c>
      <c r="J18" s="30">
        <f t="shared" si="8"/>
      </c>
      <c r="K18" s="30">
        <f t="shared" si="9"/>
      </c>
      <c r="L18" s="63">
        <f t="shared" si="10"/>
      </c>
      <c r="M18" s="33">
        <f t="shared" si="11"/>
      </c>
      <c r="N18" s="23" t="s">
        <v>407</v>
      </c>
    </row>
    <row r="19" ht="30" customHeight="1">
      <c r="A19" s="62" t="n">
        <v>10</v>
      </c>
      <c r="B19" s="49">
        <f t="shared" si="0"/>
      </c>
      <c r="C19" s="49">
        <f t="shared" si="1"/>
      </c>
      <c r="D19" s="63">
        <f t="shared" si="2"/>
      </c>
      <c r="E19" s="61">
        <f t="shared" si="3"/>
      </c>
      <c r="F19" s="28">
        <f t="shared" si="4"/>
      </c>
      <c r="G19" s="64">
        <f t="shared" si="5"/>
      </c>
      <c r="H19" s="29">
        <f t="shared" si="6"/>
      </c>
      <c r="I19" s="30">
        <f t="shared" si="7"/>
      </c>
      <c r="J19" s="30">
        <f t="shared" si="8"/>
      </c>
      <c r="K19" s="30">
        <f t="shared" si="9"/>
      </c>
      <c r="L19" s="63">
        <f t="shared" si="10"/>
      </c>
      <c r="M19" s="33">
        <f t="shared" si="11"/>
      </c>
      <c r="N19" s="23" t="s">
        <v>408</v>
      </c>
    </row>
    <row r="21" ht="30" customHeight="1">
      <c r="A21" s="2" t="s">
        <v>409</v>
      </c>
    </row>
  </sheetData>
  <mergeCells count="4">
    <mergeCell ref="A21:N21"/>
    <mergeCell ref="A2:N2"/>
    <mergeCell ref="D6:N6"/>
    <mergeCell ref="A1:N1"/>
  </mergeCells>
  <conditionalFormatting sqref="H10:H19">
    <cfRule type="cellIs" priority="1" operator="greaterThanOrEqual" dxfId="1">
      <formula>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AZ3"/>
  <sheetViews>
    <sheetView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40" min="1" max="1"/>
    <col width="5" customWidth="1" min="2" max="2"/>
    <col width="6" customWidth="1" style="65" min="3" max="3"/>
    <col width="5" customWidth="1" style="65" min="4" max="4"/>
    <col width="22" customWidth="1" min="5" max="5"/>
    <col width="7" customWidth="1" min="6" max="6"/>
    <col width="7" customWidth="1" min="7" max="7"/>
    <col width="7" customWidth="1" min="8" max="8"/>
    <col width="8" customWidth="1" style="66" min="9" max="9"/>
    <col width="11" customWidth="1" style="41" min="10" max="10"/>
    <col width="11" customWidth="1" style="41" min="11" max="11"/>
    <col width="11" customWidth="1" style="41" min="12" max="12"/>
    <col width="11" customWidth="1" style="41" min="13" max="13"/>
    <col width="11" customWidth="1" style="41" min="14" max="14"/>
    <col width="11" customWidth="1" style="41" min="15" max="15"/>
    <col width="11" customWidth="1" style="41" min="16" max="16"/>
    <col width="12" customWidth="1" style="41" min="17" max="17"/>
    <col width="8" customWidth="1" style="41" min="18" max="18"/>
    <col width="7" customWidth="1" style="41" min="19" max="19"/>
    <col width="7" customWidth="1" style="41" min="20" max="20"/>
    <col width="7" customWidth="1" style="41" min="21" max="21"/>
    <col width="7" customWidth="1" style="41" min="22" max="22"/>
    <col width="11" customWidth="1" style="41" min="23" max="23"/>
    <col width="7" customWidth="1" style="41" min="24" max="24"/>
    <col width="7" customWidth="1" style="4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8" customWidth="1" style="66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4" customWidth="1" min="48" max="48"/>
    <col width="24" customWidth="1" min="49" max="49"/>
    <col width="24" customWidth="1" min="50" max="50"/>
    <col width="24" customWidth="1" min="51" max="51"/>
    <col width="16" customWidth="1" style="67" min="52" max="52"/>
  </cols>
  <sheetData>
    <row r="1">
      <c r="A1" s="68" t="s">
        <v>410</v>
      </c>
      <c r="F1" s="68" t="s">
        <v>411</v>
      </c>
      <c r="J1" s="68" t="s">
        <v>412</v>
      </c>
      <c r="R1" s="68" t="s">
        <v>413</v>
      </c>
      <c r="Z1" s="68" t="s">
        <v>414</v>
      </c>
      <c r="AQ1" s="68" t="s">
        <v>316</v>
      </c>
      <c r="AV1" s="68" t="s">
        <v>415</v>
      </c>
      <c r="AZ1" s="68" t="s">
        <v>416</v>
      </c>
    </row>
    <row r="2" ht="45" customHeight="1">
      <c r="A2" s="11" t="s">
        <v>77</v>
      </c>
      <c r="B2" s="11" t="s">
        <v>417</v>
      </c>
      <c r="C2" s="11" t="s">
        <v>144</v>
      </c>
      <c r="D2" s="11" t="s">
        <v>312</v>
      </c>
      <c r="E2" s="11" t="s">
        <v>418</v>
      </c>
      <c r="F2" s="11" t="s">
        <v>419</v>
      </c>
      <c r="G2" s="11" t="s">
        <v>420</v>
      </c>
      <c r="H2" s="11" t="s">
        <v>421</v>
      </c>
      <c r="I2" s="11" t="s">
        <v>422</v>
      </c>
      <c r="J2" s="11" t="s">
        <v>189</v>
      </c>
      <c r="K2" s="11" t="s">
        <v>191</v>
      </c>
      <c r="L2" s="11" t="s">
        <v>193</v>
      </c>
      <c r="M2" s="11" t="s">
        <v>195</v>
      </c>
      <c r="N2" s="11" t="s">
        <v>197</v>
      </c>
      <c r="O2" s="11" t="s">
        <v>423</v>
      </c>
      <c r="P2" s="11" t="s">
        <v>424</v>
      </c>
      <c r="Q2" s="11" t="s">
        <v>425</v>
      </c>
      <c r="R2" s="11" t="s">
        <v>254</v>
      </c>
      <c r="S2" s="11" t="s">
        <v>87</v>
      </c>
      <c r="T2" s="11" t="s">
        <v>426</v>
      </c>
      <c r="U2" s="11" t="s">
        <v>427</v>
      </c>
      <c r="V2" s="11" t="s">
        <v>179</v>
      </c>
      <c r="W2" s="11" t="s">
        <v>181</v>
      </c>
      <c r="X2" s="11" t="s">
        <v>428</v>
      </c>
      <c r="Y2" s="11" t="s">
        <v>429</v>
      </c>
      <c r="Z2" s="11">
        <f>'毎日やること'!$A$5&amp;" "&amp;'毎日やること'!$D$5</f>
      </c>
      <c r="AA2" s="11">
        <f>'毎日やること'!$A$6&amp;" "&amp;'毎日やること'!$D$6</f>
      </c>
      <c r="AB2" s="11">
        <f>'毎日やること'!$A$7&amp;" "&amp;'毎日やること'!$D$7</f>
      </c>
      <c r="AC2" s="11">
        <f>'毎日やること'!$A$8&amp;" "&amp;'毎日やること'!$D$8</f>
      </c>
      <c r="AD2" s="11">
        <f>'毎日やること'!$A$9&amp;" "&amp;'毎日やること'!$D$9</f>
      </c>
      <c r="AE2" s="11">
        <f>'毎日やること'!$A$10&amp;" "&amp;'毎日やること'!$D$10</f>
      </c>
      <c r="AF2" s="11">
        <f>'毎日やること'!$A$11&amp;" "&amp;'毎日やること'!$D$11</f>
      </c>
      <c r="AG2" s="11">
        <f>'毎日やること'!$A$12&amp;" "&amp;'毎日やること'!$D$12</f>
      </c>
      <c r="AH2" s="11">
        <f>'毎日やること'!$A$13&amp;" "&amp;'毎日やること'!$D$13</f>
      </c>
      <c r="AI2" s="11">
        <f>'毎日やること'!$A$14&amp;" "&amp;'毎日やること'!$D$14</f>
      </c>
      <c r="AJ2" s="11">
        <f>'毎日やること'!$A$15&amp;" "&amp;'毎日やること'!$D$15</f>
      </c>
      <c r="AK2" s="11">
        <f>'毎日やること'!$A$16&amp;" "&amp;'毎日やること'!$D$16</f>
      </c>
      <c r="AL2" s="11">
        <f>'毎日やること'!$A$17&amp;" "&amp;'毎日やること'!$D$17</f>
      </c>
      <c r="AM2" s="11">
        <f>'毎日やること'!$A$18&amp;" "&amp;'毎日やること'!$D$18</f>
      </c>
      <c r="AN2" s="11">
        <f>'毎日やること'!$A$19&amp;" "&amp;'毎日やること'!$D$19</f>
      </c>
      <c r="AO2" s="11">
        <f>'毎日やること'!$A$20&amp;" "&amp;'毎日やること'!$D$20</f>
      </c>
      <c r="AP2" s="11" t="s">
        <v>430</v>
      </c>
      <c r="AQ2" s="11" t="s">
        <v>431</v>
      </c>
      <c r="AR2" s="11" t="s">
        <v>432</v>
      </c>
      <c r="AS2" s="11" t="s">
        <v>433</v>
      </c>
      <c r="AT2" s="11" t="s">
        <v>434</v>
      </c>
      <c r="AU2" s="11" t="s">
        <v>223</v>
      </c>
      <c r="AV2" s="11" t="s">
        <v>435</v>
      </c>
      <c r="AW2" s="11" t="s">
        <v>436</v>
      </c>
      <c r="AX2" s="11" t="s">
        <v>437</v>
      </c>
      <c r="AY2" s="11" t="s">
        <v>438</v>
      </c>
      <c r="AZ2" s="11" t="s">
        <v>439</v>
      </c>
    </row>
    <row r="3">
      <c r="A3" s="45" t="s">
        <v>338</v>
      </c>
      <c r="B3" s="69" t="s">
        <v>440</v>
      </c>
      <c r="C3" s="70" t="n">
        <v>1</v>
      </c>
      <c r="D3" s="70" t="n">
        <v>4</v>
      </c>
      <c r="E3" s="42" t="s">
        <v>441</v>
      </c>
      <c r="F3" s="69" t="s">
        <v>340</v>
      </c>
      <c r="G3" s="69" t="s">
        <v>340</v>
      </c>
      <c r="H3" s="69" t="s">
        <v>442</v>
      </c>
      <c r="I3" s="71" t="n">
        <v>0.6666666666666666</v>
      </c>
      <c r="J3" s="43" t="n">
        <v>300000</v>
      </c>
      <c r="K3" s="43" t="n">
        <v>90000</v>
      </c>
      <c r="L3" s="43" t="n">
        <v>210000</v>
      </c>
      <c r="M3" s="43" t="n">
        <v>25000</v>
      </c>
      <c r="N3" s="43" t="n">
        <v>185000</v>
      </c>
      <c r="O3" s="43" t="n">
        <v>500000</v>
      </c>
      <c r="P3" s="43" t="n">
        <v>120000</v>
      </c>
      <c r="Q3" s="43" t="n">
        <v>3200000</v>
      </c>
      <c r="R3" s="72" t="n">
        <v>35</v>
      </c>
      <c r="S3" s="72" t="n">
        <v>4</v>
      </c>
      <c r="T3" s="72" t="n">
        <v>3</v>
      </c>
      <c r="U3" s="72" t="n">
        <v>2</v>
      </c>
      <c r="V3" s="72" t="n">
        <v>1</v>
      </c>
      <c r="W3" s="43" t="n">
        <v>500000</v>
      </c>
      <c r="X3" s="72" t="n">
        <v>2</v>
      </c>
      <c r="Y3" s="72" t="n">
        <v>1</v>
      </c>
      <c r="Z3" s="69" t="s">
        <v>340</v>
      </c>
      <c r="AA3" s="69" t="s">
        <v>340</v>
      </c>
      <c r="AB3" s="69" t="s">
        <v>340</v>
      </c>
      <c r="AC3" s="69" t="s">
        <v>340</v>
      </c>
      <c r="AD3" s="69" t="s">
        <v>442</v>
      </c>
      <c r="AE3" s="69" t="s">
        <v>340</v>
      </c>
      <c r="AF3" s="69" t="s">
        <v>340</v>
      </c>
      <c r="AG3" s="69" t="s">
        <v>443</v>
      </c>
      <c r="AH3" s="69" t="s">
        <v>340</v>
      </c>
      <c r="AI3" s="69" t="s">
        <v>442</v>
      </c>
      <c r="AJ3" s="69" t="s">
        <v>340</v>
      </c>
      <c r="AK3" s="69" t="s">
        <v>340</v>
      </c>
      <c r="AL3" s="69" t="s">
        <v>443</v>
      </c>
      <c r="AM3" s="69" t="s">
        <v>340</v>
      </c>
      <c r="AN3" s="69" t="s">
        <v>340</v>
      </c>
      <c r="AO3" s="69" t="s">
        <v>340</v>
      </c>
      <c r="AP3" s="71" t="n">
        <v>0.75</v>
      </c>
      <c r="AQ3" s="42" t="s">
        <v>444</v>
      </c>
      <c r="AR3" s="42" t="s">
        <v>445</v>
      </c>
      <c r="AS3" s="42" t="s">
        <v>446</v>
      </c>
      <c r="AT3" s="42" t="s">
        <v>447</v>
      </c>
      <c r="AU3" s="42" t="s">
        <v>448</v>
      </c>
      <c r="AV3" s="42" t="s">
        <v>449</v>
      </c>
      <c r="AW3" s="42" t="s">
        <v>450</v>
      </c>
      <c r="AX3" s="42" t="s">
        <v>451</v>
      </c>
      <c r="AY3" s="42" t="inlineStr"/>
      <c r="AZ3" s="73" t="n"/>
    </row>
  </sheetData>
  <mergeCells count="7">
    <mergeCell ref="R1:Y1"/>
    <mergeCell ref="F1:I1"/>
    <mergeCell ref="J1:Q1"/>
    <mergeCell ref="A1:E1"/>
    <mergeCell ref="Z1:AP1"/>
    <mergeCell ref="AV1:AY1"/>
    <mergeCell ref="AQ1:A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Z4"/>
  <sheetViews>
    <sheetView tabSelected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" customWidth="1" min="2" max="2"/>
    <col width="6" customWidth="1" min="3" max="3"/>
    <col width="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8" customWidth="1" min="18" max="18"/>
    <col width="7" customWidth="1" min="19" max="19"/>
    <col width="7" customWidth="1" min="20" max="20"/>
    <col width="7" customWidth="1" min="21" max="21"/>
    <col width="7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4" customWidth="1" min="48" max="48"/>
    <col width="24" customWidth="1" min="49" max="49"/>
    <col width="24" customWidth="1" min="50" max="50"/>
    <col width="24" customWidth="1" min="51" max="51"/>
    <col width="16" customWidth="1" min="52" max="52"/>
  </cols>
  <sheetData>
    <row r="1" ht="45" customHeight="1">
      <c r="A1" s="11" t="s">
        <v>77</v>
      </c>
      <c r="B1" s="11" t="s">
        <v>417</v>
      </c>
      <c r="C1" s="11" t="s">
        <v>144</v>
      </c>
      <c r="D1" s="11" t="s">
        <v>312</v>
      </c>
      <c r="E1" s="11" t="s">
        <v>418</v>
      </c>
      <c r="F1" s="11" t="s">
        <v>419</v>
      </c>
      <c r="G1" s="11" t="s">
        <v>420</v>
      </c>
      <c r="H1" s="11" t="s">
        <v>421</v>
      </c>
      <c r="I1" s="11" t="s">
        <v>422</v>
      </c>
      <c r="J1" s="11" t="s">
        <v>189</v>
      </c>
      <c r="K1" s="11" t="s">
        <v>191</v>
      </c>
      <c r="L1" s="11" t="s">
        <v>193</v>
      </c>
      <c r="M1" s="11" t="s">
        <v>195</v>
      </c>
      <c r="N1" s="11" t="s">
        <v>197</v>
      </c>
      <c r="O1" s="11" t="s">
        <v>423</v>
      </c>
      <c r="P1" s="11" t="s">
        <v>424</v>
      </c>
      <c r="Q1" s="11" t="s">
        <v>425</v>
      </c>
      <c r="R1" s="11" t="s">
        <v>254</v>
      </c>
      <c r="S1" s="11" t="s">
        <v>87</v>
      </c>
      <c r="T1" s="11" t="s">
        <v>426</v>
      </c>
      <c r="U1" s="11" t="s">
        <v>427</v>
      </c>
      <c r="V1" s="11" t="s">
        <v>179</v>
      </c>
      <c r="W1" s="11" t="s">
        <v>181</v>
      </c>
      <c r="X1" s="11" t="s">
        <v>428</v>
      </c>
      <c r="Y1" s="11" t="s">
        <v>429</v>
      </c>
      <c r="Z1" s="11">
        <f>'毎日やること'!$A$5&amp;" "&amp;'毎日やること'!$D$5</f>
      </c>
      <c r="AA1" s="11">
        <f>'毎日やること'!$A$6&amp;" "&amp;'毎日やること'!$D$6</f>
      </c>
      <c r="AB1" s="11">
        <f>'毎日やること'!$A$7&amp;" "&amp;'毎日やること'!$D$7</f>
      </c>
      <c r="AC1" s="11">
        <f>'毎日やること'!$A$8&amp;" "&amp;'毎日やること'!$D$8</f>
      </c>
      <c r="AD1" s="11">
        <f>'毎日やること'!$A$9&amp;" "&amp;'毎日やること'!$D$9</f>
      </c>
      <c r="AE1" s="11">
        <f>'毎日やること'!$A$10&amp;" "&amp;'毎日やること'!$D$10</f>
      </c>
      <c r="AF1" s="11">
        <f>'毎日やること'!$A$11&amp;" "&amp;'毎日やること'!$D$11</f>
      </c>
      <c r="AG1" s="11">
        <f>'毎日やること'!$A$12&amp;" "&amp;'毎日やること'!$D$12</f>
      </c>
      <c r="AH1" s="11">
        <f>'毎日やること'!$A$13&amp;" "&amp;'毎日やること'!$D$13</f>
      </c>
      <c r="AI1" s="11">
        <f>'毎日やること'!$A$14&amp;" "&amp;'毎日やること'!$D$14</f>
      </c>
      <c r="AJ1" s="11">
        <f>'毎日やること'!$A$15&amp;" "&amp;'毎日やること'!$D$15</f>
      </c>
      <c r="AK1" s="11">
        <f>'毎日やること'!$A$16&amp;" "&amp;'毎日やること'!$D$16</f>
      </c>
      <c r="AL1" s="11">
        <f>'毎日やること'!$A$17&amp;" "&amp;'毎日やること'!$D$17</f>
      </c>
      <c r="AM1" s="11">
        <f>'毎日やること'!$A$18&amp;" "&amp;'毎日やること'!$D$18</f>
      </c>
      <c r="AN1" s="11">
        <f>'毎日やること'!$A$19&amp;" "&amp;'毎日やること'!$D$19</f>
      </c>
      <c r="AO1" s="11">
        <f>'毎日やること'!$A$20&amp;" "&amp;'毎日やること'!$D$20</f>
      </c>
      <c r="AP1" s="11" t="s">
        <v>430</v>
      </c>
      <c r="AQ1" s="11" t="s">
        <v>431</v>
      </c>
      <c r="AR1" s="11" t="s">
        <v>432</v>
      </c>
      <c r="AS1" s="11" t="s">
        <v>433</v>
      </c>
      <c r="AT1" s="11" t="s">
        <v>434</v>
      </c>
      <c r="AU1" s="11" t="s">
        <v>223</v>
      </c>
      <c r="AV1" s="11" t="s">
        <v>435</v>
      </c>
      <c r="AW1" s="11" t="s">
        <v>436</v>
      </c>
      <c r="AX1" s="11" t="s">
        <v>437</v>
      </c>
      <c r="AY1" s="11" t="s">
        <v>438</v>
      </c>
      <c r="AZ1" s="11" t="s">
        <v>439</v>
      </c>
    </row>
    <row r="2">
      <c r="A2" s="49">
        <f t="shared" ref="A2:B2" si="0">'本日の日報'!B5</f>
      </c>
      <c r="B2" s="9">
        <f t="shared" si="0"/>
      </c>
      <c r="C2" s="35">
        <f>'本日の日報'!B6</f>
      </c>
      <c r="D2" s="35">
        <f>IF('本日の日報'!B7="","",'本日の日報'!B7)</f>
      </c>
      <c r="E2" s="9">
        <f>'本日の日報'!B8&amp;""</f>
      </c>
      <c r="F2" s="9">
        <f>'本日の日報'!B12&amp;""</f>
      </c>
      <c r="G2" s="9">
        <f>'本日の日報'!B13&amp;""</f>
      </c>
      <c r="H2" s="9">
        <f>'本日の日報'!B14&amp;""</f>
      </c>
      <c r="I2" s="52">
        <f>'本日の日報'!B15</f>
      </c>
      <c r="J2" s="30">
        <f>'本日の日報'!B38</f>
      </c>
      <c r="K2" s="30">
        <f>'本日の日報'!B39</f>
      </c>
      <c r="L2" s="30">
        <f>'本日の日報'!B40</f>
      </c>
      <c r="M2" s="30">
        <f>'本日の日報'!B42</f>
      </c>
      <c r="N2" s="30">
        <f>'本日の日報'!B43</f>
      </c>
      <c r="O2" s="30">
        <f>'本日の日報'!B48</f>
      </c>
      <c r="P2" s="30">
        <f>'本日の日報'!B49</f>
      </c>
      <c r="Q2" s="30">
        <f>IF('本日の日報'!B51="","",'本日の日報'!B51)</f>
      </c>
      <c r="R2" s="30">
        <f>'本日の日報'!B27</f>
      </c>
      <c r="S2" s="30">
        <f>'本日の日報'!B28</f>
      </c>
      <c r="T2" s="30">
        <f>'本日の日報'!B29</f>
      </c>
      <c r="U2" s="30">
        <f>'本日の日報'!B30</f>
      </c>
      <c r="V2" s="30">
        <f>'本日の日報'!B31</f>
      </c>
      <c r="W2" s="30">
        <f>'本日の日報'!B32</f>
      </c>
      <c r="X2" s="30">
        <f>'本日の日報'!B33</f>
      </c>
      <c r="Y2" s="30">
        <f>'本日の日報'!B34</f>
      </c>
      <c r="Z2" s="9">
        <f>'本日の日報'!B56&amp;""</f>
      </c>
      <c r="AA2" s="9">
        <f>'本日の日報'!B57&amp;""</f>
      </c>
      <c r="AB2" s="9">
        <f>'本日の日報'!B58&amp;""</f>
      </c>
      <c r="AC2" s="9">
        <f>'本日の日報'!B59&amp;""</f>
      </c>
      <c r="AD2" s="9">
        <f>'本日の日報'!B60&amp;""</f>
      </c>
      <c r="AE2" s="9">
        <f>'本日の日報'!B61&amp;""</f>
      </c>
      <c r="AF2" s="9">
        <f>'本日の日報'!B62&amp;""</f>
      </c>
      <c r="AG2" s="9">
        <f>'本日の日報'!B63&amp;""</f>
      </c>
      <c r="AH2" s="9">
        <f>'本日の日報'!B64&amp;""</f>
      </c>
      <c r="AI2" s="9">
        <f>'本日の日報'!B65&amp;""</f>
      </c>
      <c r="AJ2" s="9">
        <f>'本日の日報'!B66&amp;""</f>
      </c>
      <c r="AK2" s="9">
        <f>'本日の日報'!B67&amp;""</f>
      </c>
      <c r="AL2" s="9">
        <f>'本日の日報'!B68&amp;""</f>
      </c>
      <c r="AM2" s="9">
        <f>'本日の日報'!B69&amp;""</f>
      </c>
      <c r="AN2" s="9">
        <f>'本日の日報'!B70&amp;""</f>
      </c>
      <c r="AO2" s="9">
        <f>'本日の日報'!B71&amp;""</f>
      </c>
      <c r="AP2" s="52">
        <f>'本日の日報'!B72</f>
      </c>
      <c r="AQ2" s="9">
        <f>'本日の日報'!B75&amp;""</f>
      </c>
      <c r="AR2" s="9">
        <f>'本日の日報'!B76&amp;""</f>
      </c>
      <c r="AS2" s="9">
        <f>'本日の日報'!B77&amp;""</f>
      </c>
      <c r="AT2" s="9">
        <f>'本日の日報'!B78&amp;""</f>
      </c>
      <c r="AU2" s="9">
        <f>'本日の日報'!B79&amp;""</f>
      </c>
      <c r="AV2" s="9">
        <f>'本日の日報'!B80&amp;""</f>
      </c>
      <c r="AW2" s="9">
        <f>'本日の日報'!B81&amp;""</f>
      </c>
      <c r="AX2" s="9">
        <f>'本日の日報'!B82&amp;""</f>
      </c>
      <c r="AY2" s="9">
        <f>'本日の日報'!B83&amp;""</f>
      </c>
      <c r="AZ2" s="74">
        <f>NOW()</f>
      </c>
    </row>
    <row r="4" ht="44" customHeight="1">
      <c r="A4" s="2" t="s">
        <v>452</v>
      </c>
    </row>
  </sheetData>
  <mergeCells count="1">
    <mergeCell ref="A4:P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" customWidth="1" min="3" max="3"/>
    <col width="58" customWidth="1" min="4" max="4"/>
    <col width="3" customWidth="1" min="5" max="5"/>
    <col width="24" customWidth="1" min="6" max="6"/>
    <col width="3" customWidth="1" min="7" max="7"/>
    <col width="3" customWidth="1" min="8" max="8"/>
    <col width="18" customWidth="1" min="9" max="9"/>
    <col width="3" customWidth="1" min="10" max="10"/>
    <col width="14" customWidth="1" min="11" max="11"/>
    <col width="8" customWidth="1" min="12" max="12"/>
  </cols>
  <sheetData>
    <row r="1">
      <c r="A1" s="1" t="s">
        <v>66</v>
      </c>
    </row>
    <row r="2" ht="18" customHeight="1">
      <c r="A2" s="2" t="s">
        <v>67</v>
      </c>
    </row>
    <row r="4">
      <c r="A4" s="11" t="s">
        <v>68</v>
      </c>
      <c r="B4" s="11" t="s">
        <v>69</v>
      </c>
      <c r="C4" s="11" t="s">
        <v>70</v>
      </c>
      <c r="D4" s="11" t="s">
        <v>71</v>
      </c>
      <c r="F4" s="11" t="s">
        <v>72</v>
      </c>
      <c r="I4" s="11" t="s">
        <v>73</v>
      </c>
      <c r="K4" s="11" t="s">
        <v>74</v>
      </c>
      <c r="L4" s="11" t="s">
        <v>75</v>
      </c>
    </row>
    <row r="5">
      <c r="A5" s="8" t="s">
        <v>76</v>
      </c>
      <c r="B5" s="75" t="n">
        <v>46296</v>
      </c>
      <c r="C5" s="17" t="s">
        <v>77</v>
      </c>
      <c r="D5" s="76" t="s">
        <v>78</v>
      </c>
      <c r="F5" s="7" t="s">
        <v>79</v>
      </c>
      <c r="I5" s="7" t="s">
        <v>80</v>
      </c>
      <c r="K5" s="7" t="s">
        <v>81</v>
      </c>
      <c r="L5" s="77" t="n">
        <v>0.05</v>
      </c>
    </row>
    <row r="6">
      <c r="A6" s="8" t="s">
        <v>82</v>
      </c>
      <c r="B6" s="78" t="n">
        <v>2</v>
      </c>
      <c r="C6" s="17" t="s">
        <v>83</v>
      </c>
      <c r="D6" s="76" t="s">
        <v>84</v>
      </c>
      <c r="F6" s="7" t="s">
        <v>85</v>
      </c>
      <c r="I6" s="7" t="s">
        <v>86</v>
      </c>
      <c r="K6" s="7" t="s">
        <v>87</v>
      </c>
      <c r="L6" s="77" t="n">
        <v>0.1</v>
      </c>
    </row>
    <row r="7">
      <c r="A7" s="8" t="s">
        <v>88</v>
      </c>
      <c r="B7" s="78" t="n">
        <v>1000</v>
      </c>
      <c r="C7" s="17" t="s">
        <v>83</v>
      </c>
      <c r="D7" s="76" t="s">
        <v>89</v>
      </c>
      <c r="F7" s="7" t="s">
        <v>90</v>
      </c>
      <c r="I7" s="7" t="s">
        <v>91</v>
      </c>
      <c r="K7" s="7" t="s">
        <v>92</v>
      </c>
      <c r="L7" s="77" t="n">
        <v>0.25</v>
      </c>
    </row>
    <row r="8">
      <c r="A8" s="8" t="s">
        <v>93</v>
      </c>
      <c r="B8" s="32" t="n">
        <v>500000</v>
      </c>
      <c r="C8" s="17" t="s">
        <v>94</v>
      </c>
      <c r="D8" s="76" t="s">
        <v>95</v>
      </c>
      <c r="F8" s="7" t="s">
        <v>96</v>
      </c>
      <c r="I8" s="7" t="s">
        <v>97</v>
      </c>
      <c r="K8" s="7" t="s">
        <v>98</v>
      </c>
      <c r="L8" s="77" t="n">
        <v>0.5</v>
      </c>
    </row>
    <row r="9">
      <c r="A9" s="8" t="s">
        <v>99</v>
      </c>
      <c r="B9" s="79" t="n">
        <v>0.3</v>
      </c>
      <c r="C9" s="17" t="s">
        <v>100</v>
      </c>
      <c r="D9" s="76" t="s">
        <v>101</v>
      </c>
      <c r="F9" s="7" t="s">
        <v>102</v>
      </c>
      <c r="I9" s="7" t="s">
        <v>103</v>
      </c>
      <c r="K9" s="7" t="s">
        <v>104</v>
      </c>
      <c r="L9" s="77" t="n">
        <v>0.75</v>
      </c>
    </row>
    <row r="10">
      <c r="A10" s="8" t="s">
        <v>105</v>
      </c>
      <c r="B10" s="79" t="n">
        <v>0.1</v>
      </c>
      <c r="C10" s="17" t="s">
        <v>100</v>
      </c>
      <c r="D10" s="76" t="s">
        <v>106</v>
      </c>
      <c r="F10" s="7" t="s">
        <v>107</v>
      </c>
      <c r="I10" s="7" t="s">
        <v>108</v>
      </c>
      <c r="K10" s="7" t="s">
        <v>109</v>
      </c>
      <c r="L10" s="77" t="n">
        <v>1</v>
      </c>
    </row>
    <row r="11">
      <c r="A11" s="8" t="s">
        <v>110</v>
      </c>
      <c r="B11" s="32" t="n">
        <v>50</v>
      </c>
      <c r="C11" s="17" t="s">
        <v>111</v>
      </c>
      <c r="D11" s="76" t="s">
        <v>112</v>
      </c>
      <c r="F11" s="7" t="s">
        <v>113</v>
      </c>
      <c r="I11" s="7" t="n"/>
      <c r="K11" s="7" t="s">
        <v>114</v>
      </c>
      <c r="L11" s="77" t="n">
        <v>0</v>
      </c>
    </row>
    <row r="12">
      <c r="A12" s="8" t="s">
        <v>115</v>
      </c>
      <c r="B12" s="32" t="n">
        <v>1</v>
      </c>
      <c r="C12" s="17" t="s">
        <v>116</v>
      </c>
      <c r="D12" s="76" t="s">
        <v>117</v>
      </c>
      <c r="F12" s="7" t="s">
        <v>118</v>
      </c>
      <c r="I12" s="7" t="n"/>
      <c r="K12" s="7" t="s">
        <v>119</v>
      </c>
      <c r="L12" s="77" t="n">
        <v>0</v>
      </c>
    </row>
    <row r="13">
      <c r="A13" s="8" t="s">
        <v>120</v>
      </c>
      <c r="B13" s="7" t="n"/>
      <c r="C13" s="17" t="inlineStr"/>
      <c r="D13" s="76" t="s">
        <v>121</v>
      </c>
      <c r="F13" s="7" t="s">
        <v>122</v>
      </c>
      <c r="K13" s="2" t="s">
        <v>123</v>
      </c>
    </row>
    <row r="14">
      <c r="A14" s="8" t="s">
        <v>124</v>
      </c>
      <c r="B14" s="7" t="n"/>
      <c r="C14" s="17" t="inlineStr"/>
      <c r="D14" s="76" t="s">
        <v>125</v>
      </c>
      <c r="F14" s="7" t="s">
        <v>126</v>
      </c>
    </row>
    <row r="15">
      <c r="A15" s="8" t="s">
        <v>127</v>
      </c>
      <c r="B15" s="80" t="n">
        <v>21</v>
      </c>
      <c r="C15" s="17" t="s">
        <v>128</v>
      </c>
      <c r="D15" s="76" t="s">
        <v>129</v>
      </c>
      <c r="F15" s="7" t="s">
        <v>130</v>
      </c>
    </row>
    <row r="16">
      <c r="F16" s="7" t="s">
        <v>131</v>
      </c>
    </row>
    <row r="17">
      <c r="F17" s="7" t="s">
        <v>132</v>
      </c>
    </row>
    <row r="18">
      <c r="F18" s="7" t="s">
        <v>133</v>
      </c>
    </row>
    <row r="19">
      <c r="F19" s="7" t="s">
        <v>134</v>
      </c>
    </row>
    <row r="20">
      <c r="F20" s="7" t="s">
        <v>135</v>
      </c>
    </row>
    <row r="21">
      <c r="F21" s="7" t="s">
        <v>136</v>
      </c>
    </row>
    <row r="22">
      <c r="F22" s="7" t="s">
        <v>137</v>
      </c>
    </row>
    <row r="23">
      <c r="F23" s="7" t="n"/>
    </row>
    <row r="24">
      <c r="F24" s="7" t="n"/>
    </row>
    <row r="25">
      <c r="F25" s="7" t="n"/>
    </row>
    <row r="26">
      <c r="F26" s="7" t="n"/>
    </row>
    <row r="27">
      <c r="F27" s="7" t="n"/>
    </row>
    <row r="28">
      <c r="F28" s="7" t="n"/>
    </row>
    <row r="29">
      <c r="F29" s="7" t="n"/>
    </row>
    <row r="30">
      <c r="F30" s="7" t="n"/>
    </row>
    <row r="31">
      <c r="F31" s="2" t="s">
        <v>138</v>
      </c>
    </row>
    <row r="32"/>
    <row r="33"/>
    <row r="34"/>
  </sheetData>
  <mergeCells count="4">
    <mergeCell ref="A1:D1"/>
    <mergeCell ref="K13:L15"/>
    <mergeCell ref="A2:D2"/>
    <mergeCell ref="F31:F34"/>
  </mergeCells>
  <pageMargins left="0.75" right="0.75" top="1" bottom="1" header="0.5" footer="0.5"/>
</worksheet>
</file>